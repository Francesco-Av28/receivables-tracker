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Clienti" sheetId="2" state="visible" r:id="rId2"/>
    <sheet xmlns:r="http://schemas.openxmlformats.org/officeDocument/2006/relationships" name="Acconti" sheetId="3" state="visible" r:id="rId3"/>
    <sheet xmlns:r="http://schemas.openxmlformats.org/officeDocument/2006/relationships" name="Insoluti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#,##0.00&quot; €&quot;"/>
    <numFmt numFmtId="165" formatCode="0.0%"/>
    <numFmt numFmtId="166" formatCode="DD/MM/YYYY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FFFFFF"/>
      <sz val="10"/>
    </font>
    <font>
      <name val="Arial"/>
      <charset val="1"/>
      <b val="1"/>
      <sz val="10"/>
    </font>
    <font>
      <name val="Arial"/>
      <charset val="1"/>
      <b val="1"/>
      <sz val="11"/>
    </font>
    <font>
      <name val="Arial"/>
      <charset val="1"/>
      <sz val="10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</fonts>
  <fills count="9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3" borderId="1" pivotButton="0" quotePrefix="0" xfId="0"/>
    <xf numFmtId="1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3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164" fontId="5" fillId="4" borderId="1" pivotButton="0" quotePrefix="0" xfId="0"/>
    <xf numFmtId="164" fontId="3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4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4" borderId="1" pivotButton="0" quotePrefix="0" xfId="0"/>
    <xf numFmtId="164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3" fillId="4" borderId="0" pivotButton="0" quotePrefix="0" xfId="0"/>
    <xf numFmtId="0" fontId="5" fillId="4" borderId="1" applyAlignment="1" pivotButton="0" quotePrefix="0" xfId="0">
      <alignment horizontal="center"/>
    </xf>
    <xf numFmtId="14" fontId="7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6" fontId="7" fillId="5" borderId="1" applyAlignment="1" pivotButton="0" quotePrefix="0" xfId="0">
      <alignment horizontal="center" vertical="center"/>
    </xf>
  </cellXfs>
  <cellStyles count="1">
    <cellStyle name="Normale" xfId="0" builtinId="0"/>
  </cellStyles>
  <dxfs count="4">
    <dxf>
      <fill>
        <patternFill>
          <bgColor rgb="FFF8CBAD"/>
        </patternFill>
      </fill>
    </dxf>
    <dxf>
      <font>
        <name val="Arial"/>
        <charset val="1"/>
        <b val="1"/>
        <color rgb="FFC00000"/>
      </font>
      <fill>
        <patternFill>
          <bgColor rgb="FFF8CBAD"/>
        </patternFill>
      </fill>
    </dxf>
    <dxf>
      <font>
        <name val="Arial"/>
        <charset val="1"/>
        <b val="1"/>
        <color rgb="FFC00000"/>
      </font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zoomScaleNormal="100" workbookViewId="0">
      <selection activeCell="A1" sqref="A1:D1"/>
    </sheetView>
  </sheetViews>
  <sheetFormatPr baseColWidth="8" defaultColWidth="8.7109375" defaultRowHeight="15"/>
  <cols>
    <col width="34" customWidth="1" min="1" max="1"/>
    <col width="20" customWidth="1" min="2" max="2"/>
    <col width="4" customWidth="1" min="3" max="3"/>
    <col width="40" customWidth="1" min="4" max="4"/>
  </cols>
  <sheetData>
    <row r="1" ht="25.5" customHeight="1">
      <c r="A1" s="28" t="inlineStr">
        <is>
          <t>RIEPILOGO GENERALE</t>
        </is>
      </c>
    </row>
    <row r="2" ht="15.75" customHeight="1">
      <c r="A2" s="29" t="inlineStr">
        <is>
          <t>Aggiornato automaticamente in base ai dati inseriti nelle altre schede</t>
        </is>
      </c>
    </row>
    <row r="3"/>
    <row r="4" ht="19.5" customHeight="1">
      <c r="A4" s="1" t="inlineStr">
        <is>
          <t>Numero clienti in anagrafica</t>
        </is>
      </c>
      <c r="B4" s="2">
        <f>COUNTA(Clienti!A5:A1000)</f>
        <v/>
      </c>
    </row>
    <row r="5" ht="19.5" customHeight="1">
      <c r="A5" s="1" t="inlineStr">
        <is>
          <t>Totale importi dovuti (periodo corrente)</t>
        </is>
      </c>
      <c r="B5" s="3">
        <f>SUM(Clienti!F5:F1000)</f>
        <v/>
      </c>
    </row>
    <row r="6" ht="19.5" customHeight="1">
      <c r="A6" s="1" t="inlineStr">
        <is>
          <t>Totale acconti versati</t>
        </is>
      </c>
      <c r="B6" s="3">
        <f>SUM(Clienti!J5:J1000)</f>
        <v/>
      </c>
    </row>
    <row r="7" ht="19.5" customHeight="1">
      <c r="A7" s="1" t="inlineStr">
        <is>
          <t>Totale insoluti aperti</t>
        </is>
      </c>
      <c r="B7" s="3">
        <f>SUMIF(Insoluti!G5:G5000,"Aperto",Insoluti!E5:E5000)</f>
        <v/>
      </c>
    </row>
    <row r="8" ht="19.5" customHeight="1">
      <c r="A8" s="1" t="inlineStr">
        <is>
          <t>Saldo residuo complessivo</t>
        </is>
      </c>
      <c r="B8" s="3">
        <f>SUM(Clienti!L5:L1000)</f>
        <v/>
      </c>
    </row>
    <row r="9" ht="19.5" customHeight="1">
      <c r="A9" s="1" t="inlineStr">
        <is>
          <t>Numero clienti con insoluti aperti</t>
        </is>
      </c>
      <c r="B9" s="2">
        <f>COUNTIF(Insoluti!G5:G5000,"Aperto")</f>
        <v/>
      </c>
    </row>
    <row r="10" ht="19.5" customHeight="1">
      <c r="A10" s="1" t="inlineStr">
        <is>
          <t>% incassato sul dovuto</t>
        </is>
      </c>
      <c r="B10" s="4">
        <f>IFERROR(SUM(Clienti!J5:J1000)/SUM(Clienti!F5:F1000),0)</f>
        <v/>
      </c>
    </row>
    <row r="11"/>
    <row r="12"/>
    <row r="13">
      <c r="A13" s="5" t="inlineStr">
        <is>
          <t>LEGENDA</t>
        </is>
      </c>
    </row>
    <row r="14">
      <c r="A14" s="6" t="inlineStr">
        <is>
          <t xml:space="preserve">  </t>
        </is>
      </c>
      <c r="B14" s="7" t="inlineStr">
        <is>
          <t>Cella da compilare manualmente</t>
        </is>
      </c>
    </row>
    <row r="15">
      <c r="A15" s="8" t="inlineStr">
        <is>
          <t xml:space="preserve">  </t>
        </is>
      </c>
      <c r="B15" s="7" t="inlineStr">
        <is>
          <t>Cella calcolata automaticamente (non modificare)</t>
        </is>
      </c>
    </row>
    <row r="16">
      <c r="A16" s="9" t="inlineStr">
        <is>
          <t xml:space="preserve">  </t>
        </is>
      </c>
      <c r="B16" s="7" t="inlineStr">
        <is>
          <t>Segnalazione insoluto / ritardo</t>
        </is>
      </c>
    </row>
    <row r="17"/>
    <row r="18">
      <c r="A18" s="5" t="inlineStr">
        <is>
          <t>COME FUNZIONA IL FILE</t>
        </is>
      </c>
    </row>
    <row r="19" ht="27.75" customHeight="1">
      <c r="A19" s="30" t="inlineStr">
        <is>
          <t>1) Foglio 'Clienti': anagrafica dei clienti (l'app la compila da sola). Compila Importo Dovuto, Modalità e Periodicità di Pagamento, Periodo di Fatturazione e Note per ogni cliente.</t>
        </is>
      </c>
    </row>
    <row r="20" ht="27.75" customHeight="1">
      <c r="A20" s="30" t="inlineStr">
        <is>
          <t>2) Foglio 'Acconti': ogni volta che un cliente versa un acconto, aggiungi una riga con data, codice cliente e importo: si aggiorna da solo nel foglio Clienti.</t>
        </is>
      </c>
    </row>
    <row r="21" ht="27.75" customHeight="1">
      <c r="A21" s="30" t="inlineStr">
        <is>
          <t>3) Foglio 'Insoluti': se un pagamento non arriva, registra qui il codice cliente, il periodo e l'importo non pagato: i giorni di ritardo si calcolano da soli.</t>
        </is>
      </c>
    </row>
    <row r="22" ht="27.75" customHeight="1">
      <c r="A22" s="30" t="inlineStr">
        <is>
          <t>4) Aggiorna il 'Periodo di Fatturazione' nel foglio Clienti ogni mese o trimestre a seconda della periodicità del cliente.</t>
        </is>
      </c>
    </row>
    <row r="23" ht="27.75" customHeight="1">
      <c r="A23" s="30" t="inlineStr">
        <is>
          <t>5) Il foglio 'Riepilogo' mostra i totali aggiornati in automatico: nessun calcolo manuale da fare.</t>
        </is>
      </c>
    </row>
  </sheetData>
  <mergeCells count="7">
    <mergeCell ref="A1:D1"/>
    <mergeCell ref="A23:D23"/>
    <mergeCell ref="A22:D22"/>
    <mergeCell ref="A20:D20"/>
    <mergeCell ref="A21:D21"/>
    <mergeCell ref="A19:D19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3"/>
  <sheetViews>
    <sheetView zoomScaleNormal="100" workbookViewId="0">
      <pane ySplit="4" topLeftCell="A5" activePane="bottomLeft" state="frozen"/>
      <selection pane="bottomLeft" activeCell="J5" sqref="J5"/>
    </sheetView>
  </sheetViews>
  <sheetFormatPr baseColWidth="8" defaultColWidth="8.7109375" defaultRowHeight="15"/>
  <cols>
    <col width="8" customWidth="1" min="1" max="1"/>
    <col width="34" customWidth="1" min="2" max="2"/>
    <col width="16" customWidth="1" min="3" max="3"/>
    <col width="14" customWidth="1" min="4" max="4"/>
    <col width="16" customWidth="1" min="5" max="5"/>
    <col width="14" customWidth="1" min="6" max="7"/>
    <col width="13" customWidth="1" min="8" max="8"/>
    <col width="16" customWidth="1" min="9" max="9"/>
    <col width="13" customWidth="1" min="10" max="10"/>
    <col width="12" customWidth="1" min="11" max="11"/>
    <col width="13" customWidth="1" min="12" max="12"/>
    <col width="26" customWidth="1" min="13" max="13"/>
  </cols>
  <sheetData>
    <row r="1" ht="25.5" customHeight="1">
      <c r="A1" s="28" t="inlineStr">
        <is>
          <t>GESTIONE PAGAMENTI CLIENTI — ANAGRAFICA E CONDIZIONI</t>
        </is>
      </c>
    </row>
    <row r="2" ht="15.75" customHeight="1">
      <c r="A2" s="29" t="inlineStr">
        <is>
          <t>Celle gialle = da compilare manualmente  |  Celle verdi = calcolate automaticamente</t>
        </is>
      </c>
    </row>
    <row r="4" ht="40.5" customHeight="1">
      <c r="A4" s="10" t="inlineStr">
        <is>
          <t>Codice</t>
        </is>
      </c>
      <c r="B4" s="10" t="inlineStr">
        <is>
          <t>Ragione Sociale</t>
        </is>
      </c>
      <c r="C4" s="10" t="inlineStr">
        <is>
          <t>Nome</t>
        </is>
      </c>
      <c r="D4" s="10" t="inlineStr">
        <is>
          <t>Partita IVA</t>
        </is>
      </c>
      <c r="E4" s="10" t="inlineStr">
        <is>
          <t>Codice Fiscale</t>
        </is>
      </c>
      <c r="F4" s="10" t="inlineStr">
        <is>
          <t>Importo Dovuto
(per periodo) €</t>
        </is>
      </c>
      <c r="G4" s="10" t="inlineStr">
        <is>
          <t>Modalità di
Pagamento</t>
        </is>
      </c>
      <c r="H4" s="10" t="inlineStr">
        <is>
          <t>Periodicità
Pagamento</t>
        </is>
      </c>
      <c r="I4" s="10" t="inlineStr">
        <is>
          <t>Periodo di
Fatturazione</t>
        </is>
      </c>
      <c r="J4" s="10" t="inlineStr">
        <is>
          <t>Acconti
Versati €</t>
        </is>
      </c>
      <c r="K4" s="10" t="inlineStr">
        <is>
          <t>Insoluti €</t>
        </is>
      </c>
      <c r="L4" s="10" t="inlineStr">
        <is>
          <t>Saldo
Residuo €</t>
        </is>
      </c>
      <c r="M4" s="10" t="inlineStr">
        <is>
          <t>Note</t>
        </is>
      </c>
    </row>
    <row r="5" ht="18" customHeight="1">
      <c r="A5" s="11" t="n"/>
      <c r="B5" s="12" t="n"/>
      <c r="C5" s="12" t="n"/>
      <c r="D5" s="11" t="n"/>
      <c r="E5" s="12" t="n"/>
      <c r="F5" s="13" t="n"/>
      <c r="G5" s="14" t="n"/>
      <c r="H5" s="14" t="n"/>
      <c r="I5" s="27" t="n"/>
      <c r="J5" s="15" t="n"/>
      <c r="K5" s="15" t="n"/>
      <c r="L5" s="16" t="n"/>
      <c r="M5" s="17" t="n"/>
    </row>
    <row r="6" ht="18" customHeight="1">
      <c r="A6" s="18" t="n"/>
      <c r="B6" s="19" t="n"/>
      <c r="C6" s="19" t="n"/>
      <c r="D6" s="18" t="n"/>
      <c r="E6" s="19" t="n"/>
      <c r="F6" s="13" t="n"/>
      <c r="G6" s="14" t="n"/>
      <c r="H6" s="14" t="n"/>
      <c r="I6" s="14" t="n"/>
      <c r="J6" s="15" t="n"/>
      <c r="K6" s="15" t="n"/>
      <c r="L6" s="16" t="n"/>
      <c r="M6" s="17" t="n"/>
    </row>
    <row r="7" ht="18" customHeight="1">
      <c r="A7" s="11" t="n"/>
      <c r="B7" s="12" t="n"/>
      <c r="C7" s="12" t="n"/>
      <c r="D7" s="11" t="n"/>
      <c r="E7" s="12" t="n"/>
      <c r="F7" s="13" t="n"/>
      <c r="G7" s="14" t="n"/>
      <c r="H7" s="14" t="n"/>
      <c r="I7" s="14" t="n"/>
      <c r="J7" s="15" t="n"/>
      <c r="K7" s="15" t="n"/>
      <c r="L7" s="16" t="n"/>
      <c r="M7" s="17" t="n"/>
    </row>
    <row r="8" ht="18" customHeight="1">
      <c r="A8" s="18" t="n"/>
      <c r="B8" s="19" t="n"/>
      <c r="C8" s="19" t="n"/>
      <c r="D8" s="18" t="n"/>
      <c r="E8" s="19" t="n"/>
      <c r="F8" s="13" t="n"/>
      <c r="G8" s="14" t="n"/>
      <c r="H8" s="14" t="n"/>
      <c r="I8" s="14" t="n"/>
      <c r="J8" s="15" t="n"/>
      <c r="K8" s="15" t="n"/>
      <c r="L8" s="16" t="n"/>
      <c r="M8" s="17" t="n"/>
    </row>
    <row r="9" ht="18" customHeight="1">
      <c r="A9" s="11" t="n"/>
      <c r="B9" s="12" t="n"/>
      <c r="C9" s="12" t="n"/>
      <c r="D9" s="11" t="n"/>
      <c r="E9" s="12" t="n"/>
      <c r="F9" s="13" t="n"/>
      <c r="G9" s="14" t="n"/>
      <c r="H9" s="14" t="n"/>
      <c r="I9" s="14" t="n"/>
      <c r="J9" s="15" t="n"/>
      <c r="K9" s="15" t="n"/>
      <c r="L9" s="16" t="n"/>
      <c r="M9" s="17" t="n"/>
    </row>
    <row r="10" ht="18" customHeight="1">
      <c r="A10" s="18" t="n"/>
      <c r="B10" s="19" t="n"/>
      <c r="C10" s="19" t="n"/>
      <c r="D10" s="18" t="n"/>
      <c r="E10" s="19" t="n"/>
      <c r="F10" s="13" t="n"/>
      <c r="G10" s="14" t="n"/>
      <c r="H10" s="14" t="n"/>
      <c r="I10" s="14" t="n"/>
      <c r="J10" s="15" t="n"/>
      <c r="K10" s="15" t="n"/>
      <c r="L10" s="16" t="n"/>
      <c r="M10" s="17" t="n"/>
    </row>
    <row r="11" ht="18" customHeight="1">
      <c r="A11" s="11" t="n"/>
      <c r="B11" s="12" t="n"/>
      <c r="C11" s="12" t="n"/>
      <c r="D11" s="11" t="n"/>
      <c r="E11" s="12" t="n"/>
      <c r="F11" s="13" t="n"/>
      <c r="G11" s="14" t="n"/>
      <c r="H11" s="14" t="n"/>
      <c r="I11" s="14" t="n"/>
      <c r="J11" s="15" t="n"/>
      <c r="K11" s="15" t="n"/>
      <c r="L11" s="16" t="n"/>
      <c r="M11" s="17" t="n"/>
    </row>
    <row r="12" ht="18" customHeight="1">
      <c r="A12" s="18" t="n"/>
      <c r="B12" s="19" t="n"/>
      <c r="C12" s="19" t="n"/>
      <c r="D12" s="18" t="n"/>
      <c r="E12" s="19" t="n"/>
      <c r="F12" s="13" t="n"/>
      <c r="G12" s="14" t="n"/>
      <c r="H12" s="14" t="n"/>
      <c r="I12" s="14" t="n"/>
      <c r="J12" s="15" t="n"/>
      <c r="K12" s="15" t="n"/>
      <c r="L12" s="16" t="n"/>
      <c r="M12" s="17" t="n"/>
    </row>
    <row r="13" ht="18" customHeight="1">
      <c r="A13" s="11" t="n"/>
      <c r="B13" s="12" t="n"/>
      <c r="C13" s="12" t="n"/>
      <c r="D13" s="11" t="n"/>
      <c r="E13" s="12" t="n"/>
      <c r="F13" s="13" t="n"/>
      <c r="G13" s="14" t="n"/>
      <c r="H13" s="14" t="n"/>
      <c r="I13" s="14" t="n"/>
      <c r="J13" s="15" t="n"/>
      <c r="K13" s="15" t="n"/>
      <c r="L13" s="16" t="n"/>
      <c r="M13" s="17" t="n"/>
    </row>
    <row r="14" ht="18" customHeight="1">
      <c r="A14" s="18" t="n"/>
      <c r="B14" s="19" t="n"/>
      <c r="C14" s="19" t="n"/>
      <c r="D14" s="18" t="n"/>
      <c r="E14" s="19" t="n"/>
      <c r="F14" s="13" t="n"/>
      <c r="G14" s="14" t="n"/>
      <c r="H14" s="14" t="n"/>
      <c r="I14" s="14" t="n"/>
      <c r="J14" s="15" t="n"/>
      <c r="K14" s="15" t="n"/>
      <c r="L14" s="16" t="n"/>
      <c r="M14" s="17" t="n"/>
    </row>
    <row r="15" ht="18" customHeight="1">
      <c r="A15" s="11" t="n"/>
      <c r="B15" s="12" t="n"/>
      <c r="C15" s="12" t="n"/>
      <c r="D15" s="11" t="n"/>
      <c r="E15" s="12" t="n"/>
      <c r="F15" s="13" t="n"/>
      <c r="G15" s="14" t="n"/>
      <c r="H15" s="14" t="n"/>
      <c r="I15" s="14" t="n"/>
      <c r="J15" s="15" t="n"/>
      <c r="K15" s="15" t="n"/>
      <c r="L15" s="16" t="n"/>
      <c r="M15" s="17" t="n"/>
    </row>
    <row r="16" ht="18" customHeight="1">
      <c r="A16" s="18" t="n"/>
      <c r="B16" s="19" t="n"/>
      <c r="C16" s="19" t="n"/>
      <c r="D16" s="18" t="n"/>
      <c r="E16" s="19" t="n"/>
      <c r="F16" s="13" t="n"/>
      <c r="G16" s="14" t="n"/>
      <c r="H16" s="14" t="n"/>
      <c r="I16" s="14" t="n"/>
      <c r="J16" s="15" t="n"/>
      <c r="K16" s="15" t="n"/>
      <c r="L16" s="16" t="n"/>
      <c r="M16" s="17" t="n"/>
    </row>
    <row r="17" ht="18" customHeight="1">
      <c r="A17" s="11" t="n"/>
      <c r="B17" s="12" t="n"/>
      <c r="C17" s="12" t="n"/>
      <c r="D17" s="11" t="n"/>
      <c r="E17" s="12" t="n"/>
      <c r="F17" s="13" t="n"/>
      <c r="G17" s="14" t="n"/>
      <c r="H17" s="14" t="n"/>
      <c r="I17" s="14" t="n"/>
      <c r="J17" s="15" t="n"/>
      <c r="K17" s="15" t="n"/>
      <c r="L17" s="16" t="n"/>
      <c r="M17" s="17" t="n"/>
    </row>
    <row r="18" ht="18" customHeight="1">
      <c r="A18" s="18" t="n"/>
      <c r="B18" s="19" t="n"/>
      <c r="C18" s="19" t="n"/>
      <c r="D18" s="18" t="n"/>
      <c r="E18" s="19" t="n"/>
      <c r="F18" s="13" t="n"/>
      <c r="G18" s="14" t="n"/>
      <c r="H18" s="14" t="n"/>
      <c r="I18" s="14" t="n"/>
      <c r="J18" s="15" t="n"/>
      <c r="K18" s="15" t="n"/>
      <c r="L18" s="16" t="n"/>
      <c r="M18" s="17" t="n"/>
    </row>
    <row r="19" ht="18" customHeight="1">
      <c r="A19" s="11" t="n"/>
      <c r="B19" s="12" t="n"/>
      <c r="C19" s="12" t="n"/>
      <c r="D19" s="11" t="n"/>
      <c r="E19" s="12" t="n"/>
      <c r="F19" s="13" t="n"/>
      <c r="G19" s="14" t="n"/>
      <c r="H19" s="14" t="n"/>
      <c r="I19" s="14" t="n"/>
      <c r="J19" s="15" t="n"/>
      <c r="K19" s="15" t="n"/>
      <c r="L19" s="16" t="n"/>
      <c r="M19" s="17" t="n"/>
    </row>
    <row r="20" ht="18" customHeight="1">
      <c r="A20" s="18" t="n"/>
      <c r="B20" s="19" t="n"/>
      <c r="C20" s="19" t="n"/>
      <c r="D20" s="18" t="n"/>
      <c r="E20" s="19" t="n"/>
      <c r="F20" s="13" t="n"/>
      <c r="G20" s="14" t="n"/>
      <c r="H20" s="14" t="n"/>
      <c r="I20" s="14" t="n"/>
      <c r="J20" s="15" t="n"/>
      <c r="K20" s="15" t="n"/>
      <c r="L20" s="16" t="n"/>
      <c r="M20" s="17" t="n"/>
    </row>
    <row r="21" ht="18" customHeight="1">
      <c r="A21" s="11" t="n"/>
      <c r="B21" s="12" t="n"/>
      <c r="C21" s="12" t="n"/>
      <c r="D21" s="11" t="n"/>
      <c r="E21" s="12" t="n"/>
      <c r="F21" s="13" t="n"/>
      <c r="G21" s="14" t="n"/>
      <c r="H21" s="14" t="n"/>
      <c r="I21" s="14" t="n"/>
      <c r="J21" s="15" t="n"/>
      <c r="K21" s="15" t="n"/>
      <c r="L21" s="16" t="n"/>
      <c r="M21" s="17" t="n"/>
    </row>
    <row r="22" ht="18" customHeight="1">
      <c r="A22" s="18" t="n"/>
      <c r="B22" s="19" t="n"/>
      <c r="C22" s="19" t="n"/>
      <c r="D22" s="18" t="n"/>
      <c r="E22" s="19" t="n"/>
      <c r="F22" s="13" t="n"/>
      <c r="G22" s="14" t="n"/>
      <c r="H22" s="14" t="n"/>
      <c r="I22" s="14" t="n"/>
      <c r="J22" s="15" t="n"/>
      <c r="K22" s="15" t="n"/>
      <c r="L22" s="16" t="n"/>
      <c r="M22" s="17" t="n"/>
    </row>
    <row r="23" ht="18" customHeight="1">
      <c r="A23" s="11" t="n"/>
      <c r="B23" s="12" t="n"/>
      <c r="C23" s="12" t="n"/>
      <c r="D23" s="11" t="n"/>
      <c r="E23" s="12" t="n"/>
      <c r="F23" s="13" t="n"/>
      <c r="G23" s="14" t="n"/>
      <c r="H23" s="14" t="n"/>
      <c r="I23" s="14" t="n"/>
      <c r="J23" s="15" t="n"/>
      <c r="K23" s="15" t="n"/>
      <c r="L23" s="16" t="n"/>
      <c r="M23" s="17" t="n"/>
    </row>
    <row r="24" ht="18" customHeight="1">
      <c r="A24" s="18" t="n"/>
      <c r="B24" s="19" t="n"/>
      <c r="C24" s="19" t="n"/>
      <c r="D24" s="18" t="n"/>
      <c r="E24" s="19" t="n"/>
      <c r="F24" s="13" t="n"/>
      <c r="G24" s="14" t="n"/>
      <c r="H24" s="14" t="n"/>
      <c r="I24" s="14" t="n"/>
      <c r="J24" s="15" t="n"/>
      <c r="K24" s="15" t="n"/>
      <c r="L24" s="16" t="n"/>
      <c r="M24" s="17" t="n"/>
    </row>
    <row r="25" ht="18" customHeight="1">
      <c r="A25" s="11" t="n"/>
      <c r="B25" s="12" t="n"/>
      <c r="C25" s="12" t="n"/>
      <c r="D25" s="11" t="n"/>
      <c r="E25" s="12" t="n"/>
      <c r="F25" s="13" t="n"/>
      <c r="G25" s="14" t="n"/>
      <c r="H25" s="14" t="n"/>
      <c r="I25" s="14" t="n"/>
      <c r="J25" s="15" t="n"/>
      <c r="K25" s="15" t="n"/>
      <c r="L25" s="16" t="n"/>
      <c r="M25" s="17" t="n"/>
    </row>
    <row r="26" ht="18" customHeight="1">
      <c r="A26" s="18" t="n"/>
      <c r="B26" s="19" t="n"/>
      <c r="C26" s="19" t="n"/>
      <c r="D26" s="18" t="n"/>
      <c r="E26" s="19" t="n"/>
      <c r="F26" s="13" t="n"/>
      <c r="G26" s="14" t="n"/>
      <c r="H26" s="14" t="n"/>
      <c r="I26" s="14" t="n"/>
      <c r="J26" s="15" t="n"/>
      <c r="K26" s="15" t="n"/>
      <c r="L26" s="16" t="n"/>
      <c r="M26" s="17" t="n"/>
    </row>
    <row r="27" ht="18" customHeight="1">
      <c r="A27" s="11" t="n"/>
      <c r="B27" s="12" t="n"/>
      <c r="C27" s="12" t="n"/>
      <c r="D27" s="11" t="n"/>
      <c r="E27" s="12" t="n"/>
      <c r="F27" s="13" t="n"/>
      <c r="G27" s="14" t="n"/>
      <c r="H27" s="14" t="n"/>
      <c r="I27" s="14" t="n"/>
      <c r="J27" s="15" t="n"/>
      <c r="K27" s="15" t="n"/>
      <c r="L27" s="16" t="n"/>
      <c r="M27" s="17" t="n"/>
    </row>
    <row r="28" ht="18" customHeight="1">
      <c r="A28" s="18" t="n"/>
      <c r="B28" s="19" t="n"/>
      <c r="C28" s="19" t="n"/>
      <c r="D28" s="18" t="n"/>
      <c r="E28" s="19" t="n"/>
      <c r="F28" s="13" t="n"/>
      <c r="G28" s="14" t="n"/>
      <c r="H28" s="14" t="n"/>
      <c r="I28" s="14" t="n"/>
      <c r="J28" s="15" t="n"/>
      <c r="K28" s="15" t="n"/>
      <c r="L28" s="16" t="n"/>
      <c r="M28" s="17" t="n"/>
    </row>
    <row r="29" ht="18" customHeight="1">
      <c r="A29" s="11" t="n"/>
      <c r="B29" s="12" t="n"/>
      <c r="C29" s="12" t="n"/>
      <c r="D29" s="11" t="n"/>
      <c r="E29" s="12" t="n"/>
      <c r="F29" s="13" t="n"/>
      <c r="G29" s="14" t="n"/>
      <c r="H29" s="14" t="n"/>
      <c r="I29" s="14" t="n"/>
      <c r="J29" s="15" t="n"/>
      <c r="K29" s="15" t="n"/>
      <c r="L29" s="16" t="n"/>
      <c r="M29" s="17" t="n"/>
    </row>
    <row r="30" ht="18" customHeight="1">
      <c r="A30" s="18" t="n"/>
      <c r="B30" s="19" t="n"/>
      <c r="C30" s="19" t="n"/>
      <c r="D30" s="18" t="n"/>
      <c r="E30" s="19" t="n"/>
      <c r="F30" s="13" t="n"/>
      <c r="G30" s="14" t="n"/>
      <c r="H30" s="14" t="n"/>
      <c r="I30" s="14" t="n"/>
      <c r="J30" s="15" t="n"/>
      <c r="K30" s="15" t="n"/>
      <c r="L30" s="16" t="n"/>
      <c r="M30" s="17" t="n"/>
    </row>
    <row r="31" ht="18" customHeight="1">
      <c r="A31" s="11" t="n"/>
      <c r="B31" s="12" t="n"/>
      <c r="C31" s="12" t="n"/>
      <c r="D31" s="11" t="n"/>
      <c r="E31" s="12" t="n"/>
      <c r="F31" s="13" t="n"/>
      <c r="G31" s="14" t="n"/>
      <c r="H31" s="14" t="n"/>
      <c r="I31" s="14" t="n"/>
      <c r="J31" s="15" t="n"/>
      <c r="K31" s="15" t="n"/>
      <c r="L31" s="16" t="n"/>
      <c r="M31" s="17" t="n"/>
    </row>
    <row r="32" ht="18" customHeight="1">
      <c r="A32" s="18" t="n"/>
      <c r="B32" s="19" t="n"/>
      <c r="C32" s="19" t="n"/>
      <c r="D32" s="18" t="n"/>
      <c r="E32" s="19" t="n"/>
      <c r="F32" s="13" t="n"/>
      <c r="G32" s="14" t="n"/>
      <c r="H32" s="14" t="n"/>
      <c r="I32" s="14" t="n"/>
      <c r="J32" s="15" t="n"/>
      <c r="K32" s="15" t="n"/>
      <c r="L32" s="16" t="n"/>
      <c r="M32" s="17" t="n"/>
    </row>
    <row r="33" ht="18" customHeight="1">
      <c r="A33" s="11" t="n"/>
      <c r="B33" s="12" t="n"/>
      <c r="C33" s="12" t="n"/>
      <c r="D33" s="11" t="n"/>
      <c r="E33" s="12" t="n"/>
      <c r="F33" s="13" t="n"/>
      <c r="G33" s="14" t="n"/>
      <c r="H33" s="14" t="n"/>
      <c r="I33" s="14" t="n"/>
      <c r="J33" s="15" t="n"/>
      <c r="K33" s="15" t="n"/>
      <c r="L33" s="16" t="n"/>
      <c r="M33" s="17" t="n"/>
    </row>
    <row r="34" ht="18" customHeight="1">
      <c r="A34" s="18" t="n"/>
      <c r="B34" s="19" t="n"/>
      <c r="C34" s="19" t="n"/>
      <c r="D34" s="18" t="n"/>
      <c r="E34" s="19" t="n"/>
      <c r="F34" s="13" t="n"/>
      <c r="G34" s="14" t="n"/>
      <c r="H34" s="14" t="n"/>
      <c r="I34" s="14" t="n"/>
      <c r="J34" s="15" t="n"/>
      <c r="K34" s="15" t="n"/>
      <c r="L34" s="16" t="n"/>
      <c r="M34" s="17" t="n"/>
    </row>
    <row r="35" ht="18" customHeight="1">
      <c r="A35" s="11" t="n"/>
      <c r="B35" s="12" t="n"/>
      <c r="C35" s="12" t="n"/>
      <c r="D35" s="11" t="n"/>
      <c r="E35" s="12" t="n"/>
      <c r="F35" s="13" t="n"/>
      <c r="G35" s="14" t="n"/>
      <c r="H35" s="14" t="n"/>
      <c r="I35" s="14" t="n"/>
      <c r="J35" s="15" t="n"/>
      <c r="K35" s="15" t="n"/>
      <c r="L35" s="16" t="n"/>
      <c r="M35" s="17" t="n"/>
    </row>
    <row r="36" ht="18" customHeight="1">
      <c r="A36" s="18" t="n"/>
      <c r="B36" s="19" t="n"/>
      <c r="C36" s="19" t="n"/>
      <c r="D36" s="18" t="n"/>
      <c r="E36" s="19" t="n"/>
      <c r="F36" s="13" t="n"/>
      <c r="G36" s="14" t="n"/>
      <c r="H36" s="14" t="n"/>
      <c r="I36" s="14" t="n"/>
      <c r="J36" s="15" t="n"/>
      <c r="K36" s="15" t="n"/>
      <c r="L36" s="16" t="n"/>
      <c r="M36" s="17" t="n"/>
    </row>
    <row r="37" ht="18" customHeight="1">
      <c r="A37" s="11" t="n"/>
      <c r="B37" s="12" t="n"/>
      <c r="C37" s="12" t="n"/>
      <c r="D37" s="11" t="n"/>
      <c r="E37" s="12" t="n"/>
      <c r="F37" s="13" t="n"/>
      <c r="G37" s="14" t="n"/>
      <c r="H37" s="14" t="n"/>
      <c r="I37" s="14" t="n"/>
      <c r="J37" s="15" t="n"/>
      <c r="K37" s="15" t="n"/>
      <c r="L37" s="16" t="n"/>
      <c r="M37" s="17" t="n"/>
    </row>
    <row r="38" ht="18" customHeight="1">
      <c r="A38" s="18" t="n"/>
      <c r="B38" s="19" t="n"/>
      <c r="C38" s="19" t="n"/>
      <c r="D38" s="18" t="n"/>
      <c r="E38" s="19" t="n"/>
      <c r="F38" s="13" t="n"/>
      <c r="G38" s="14" t="n"/>
      <c r="H38" s="14" t="n"/>
      <c r="I38" s="14" t="n"/>
      <c r="J38" s="15" t="n"/>
      <c r="K38" s="15" t="n"/>
      <c r="L38" s="16" t="n"/>
      <c r="M38" s="17" t="n"/>
    </row>
    <row r="39" ht="18" customHeight="1">
      <c r="A39" s="11" t="n"/>
      <c r="B39" s="12" t="n"/>
      <c r="C39" s="12" t="n"/>
      <c r="D39" s="11" t="n"/>
      <c r="E39" s="12" t="n"/>
      <c r="F39" s="13" t="n"/>
      <c r="G39" s="14" t="n"/>
      <c r="H39" s="14" t="n"/>
      <c r="I39" s="14" t="n"/>
      <c r="J39" s="15" t="n"/>
      <c r="K39" s="15" t="n"/>
      <c r="L39" s="16" t="n"/>
      <c r="M39" s="17" t="n"/>
    </row>
    <row r="40" ht="18" customHeight="1">
      <c r="A40" s="18" t="n"/>
      <c r="B40" s="19" t="n"/>
      <c r="C40" s="19" t="n"/>
      <c r="D40" s="18" t="n"/>
      <c r="E40" s="19" t="n"/>
      <c r="F40" s="13" t="n"/>
      <c r="G40" s="14" t="n"/>
      <c r="H40" s="14" t="n"/>
      <c r="I40" s="14" t="n"/>
      <c r="J40" s="15" t="n"/>
      <c r="K40" s="15" t="n"/>
      <c r="L40" s="16" t="n"/>
      <c r="M40" s="17" t="n"/>
    </row>
    <row r="41" ht="18" customHeight="1">
      <c r="A41" s="11" t="n"/>
      <c r="B41" s="12" t="n"/>
      <c r="C41" s="12" t="n"/>
      <c r="D41" s="11" t="n"/>
      <c r="E41" s="12" t="n"/>
      <c r="F41" s="13" t="n"/>
      <c r="G41" s="14" t="n"/>
      <c r="H41" s="14" t="n"/>
      <c r="I41" s="14" t="n"/>
      <c r="J41" s="15" t="n"/>
      <c r="K41" s="15" t="n"/>
      <c r="L41" s="16" t="n"/>
      <c r="M41" s="17" t="n"/>
    </row>
    <row r="42" ht="18" customHeight="1">
      <c r="A42" s="18" t="n"/>
      <c r="B42" s="19" t="n"/>
      <c r="C42" s="19" t="n"/>
      <c r="D42" s="18" t="n"/>
      <c r="E42" s="19" t="n"/>
      <c r="F42" s="13" t="n"/>
      <c r="G42" s="14" t="n"/>
      <c r="H42" s="14" t="n"/>
      <c r="I42" s="14" t="n"/>
      <c r="J42" s="15" t="n"/>
      <c r="K42" s="15" t="n"/>
      <c r="L42" s="16" t="n"/>
      <c r="M42" s="17" t="n"/>
    </row>
    <row r="43" ht="18" customHeight="1">
      <c r="A43" s="11" t="n"/>
      <c r="B43" s="12" t="n"/>
      <c r="C43" s="12" t="n"/>
      <c r="D43" s="11" t="n"/>
      <c r="E43" s="12" t="n"/>
      <c r="F43" s="13" t="n"/>
      <c r="G43" s="14" t="n"/>
      <c r="H43" s="14" t="n"/>
      <c r="I43" s="14" t="n"/>
      <c r="J43" s="15" t="n"/>
      <c r="K43" s="15" t="n"/>
      <c r="L43" s="16" t="n"/>
      <c r="M43" s="17" t="n"/>
    </row>
    <row r="44" ht="18" customHeight="1">
      <c r="A44" s="18" t="n"/>
      <c r="B44" s="19" t="n"/>
      <c r="C44" s="19" t="n"/>
      <c r="D44" s="18" t="n"/>
      <c r="E44" s="19" t="n"/>
      <c r="F44" s="13" t="n"/>
      <c r="G44" s="14" t="n"/>
      <c r="H44" s="14" t="n"/>
      <c r="I44" s="14" t="n"/>
      <c r="J44" s="15" t="n"/>
      <c r="K44" s="15" t="n"/>
      <c r="L44" s="16" t="n"/>
      <c r="M44" s="17" t="n"/>
    </row>
    <row r="45" ht="18" customHeight="1">
      <c r="A45" s="11" t="n"/>
      <c r="B45" s="12" t="n"/>
      <c r="C45" s="12" t="n"/>
      <c r="D45" s="11" t="n"/>
      <c r="E45" s="12" t="n"/>
      <c r="F45" s="13" t="n"/>
      <c r="G45" s="14" t="n"/>
      <c r="H45" s="14" t="n"/>
      <c r="I45" s="14" t="n"/>
      <c r="J45" s="15" t="n"/>
      <c r="K45" s="15" t="n"/>
      <c r="L45" s="16" t="n"/>
      <c r="M45" s="17" t="n"/>
    </row>
    <row r="46" ht="18" customHeight="1">
      <c r="A46" s="18" t="n"/>
      <c r="B46" s="19" t="n"/>
      <c r="C46" s="19" t="n"/>
      <c r="D46" s="18" t="n"/>
      <c r="E46" s="19" t="n"/>
      <c r="F46" s="13" t="n"/>
      <c r="G46" s="14" t="n"/>
      <c r="H46" s="14" t="n"/>
      <c r="I46" s="14" t="n"/>
      <c r="J46" s="15" t="n"/>
      <c r="K46" s="15" t="n"/>
      <c r="L46" s="16" t="n"/>
      <c r="M46" s="17" t="n"/>
    </row>
    <row r="47" ht="18" customHeight="1">
      <c r="A47" s="11" t="n"/>
      <c r="B47" s="12" t="n"/>
      <c r="C47" s="12" t="n"/>
      <c r="D47" s="11" t="n"/>
      <c r="E47" s="12" t="n"/>
      <c r="F47" s="13" t="n"/>
      <c r="G47" s="14" t="n"/>
      <c r="H47" s="14" t="n"/>
      <c r="I47" s="14" t="n"/>
      <c r="J47" s="15" t="n"/>
      <c r="K47" s="15" t="n"/>
      <c r="L47" s="16" t="n"/>
      <c r="M47" s="17" t="n"/>
    </row>
    <row r="48" ht="18" customHeight="1">
      <c r="A48" s="18" t="n"/>
      <c r="B48" s="19" t="n"/>
      <c r="C48" s="19" t="n"/>
      <c r="D48" s="18" t="n"/>
      <c r="E48" s="19" t="n"/>
      <c r="F48" s="13" t="n"/>
      <c r="G48" s="14" t="n"/>
      <c r="H48" s="14" t="n"/>
      <c r="I48" s="14" t="n"/>
      <c r="J48" s="15" t="n"/>
      <c r="K48" s="15" t="n"/>
      <c r="L48" s="16" t="n"/>
      <c r="M48" s="17" t="n"/>
    </row>
    <row r="49" ht="18" customHeight="1">
      <c r="A49" s="11" t="n"/>
      <c r="B49" s="12" t="n"/>
      <c r="C49" s="12" t="n"/>
      <c r="D49" s="11" t="n"/>
      <c r="E49" s="12" t="n"/>
      <c r="F49" s="13" t="n"/>
      <c r="G49" s="14" t="n"/>
      <c r="H49" s="14" t="n"/>
      <c r="I49" s="14" t="n"/>
      <c r="J49" s="15" t="n"/>
      <c r="K49" s="15" t="n"/>
      <c r="L49" s="16" t="n"/>
      <c r="M49" s="17" t="n"/>
    </row>
    <row r="50" ht="18" customHeight="1">
      <c r="A50" s="18" t="n"/>
      <c r="B50" s="19" t="n"/>
      <c r="C50" s="19" t="n"/>
      <c r="D50" s="18" t="n"/>
      <c r="E50" s="19" t="n"/>
      <c r="F50" s="13" t="n"/>
      <c r="G50" s="14" t="n"/>
      <c r="H50" s="14" t="n"/>
      <c r="I50" s="14" t="n"/>
      <c r="J50" s="15" t="n"/>
      <c r="K50" s="15" t="n"/>
      <c r="L50" s="16" t="n"/>
      <c r="M50" s="17" t="n"/>
    </row>
    <row r="51" ht="18" customHeight="1">
      <c r="A51" s="11" t="n"/>
      <c r="B51" s="12" t="n"/>
      <c r="C51" s="12" t="n"/>
      <c r="D51" s="11" t="n"/>
      <c r="E51" s="12" t="n"/>
      <c r="F51" s="13" t="n"/>
      <c r="G51" s="14" t="n"/>
      <c r="H51" s="14" t="n"/>
      <c r="I51" s="14" t="n"/>
      <c r="J51" s="15" t="n"/>
      <c r="K51" s="15" t="n"/>
      <c r="L51" s="16" t="n"/>
      <c r="M51" s="17" t="n"/>
    </row>
    <row r="52" ht="18" customHeight="1">
      <c r="A52" s="18" t="n"/>
      <c r="B52" s="19" t="n"/>
      <c r="C52" s="19" t="n"/>
      <c r="D52" s="18" t="n"/>
      <c r="E52" s="19" t="n"/>
      <c r="F52" s="13" t="n"/>
      <c r="G52" s="14" t="n"/>
      <c r="H52" s="14" t="n"/>
      <c r="I52" s="14" t="n"/>
      <c r="J52" s="15" t="n"/>
      <c r="K52" s="15" t="n"/>
      <c r="L52" s="16" t="n"/>
      <c r="M52" s="17" t="n"/>
    </row>
    <row r="53" ht="18" customHeight="1">
      <c r="A53" s="11" t="n"/>
      <c r="B53" s="12" t="n"/>
      <c r="C53" s="12" t="n"/>
      <c r="D53" s="11" t="n"/>
      <c r="E53" s="12" t="n"/>
      <c r="F53" s="13" t="n"/>
      <c r="G53" s="14" t="n"/>
      <c r="H53" s="14" t="n"/>
      <c r="I53" s="14" t="n"/>
      <c r="J53" s="15" t="n"/>
      <c r="K53" s="15" t="n"/>
      <c r="L53" s="16" t="n"/>
      <c r="M53" s="17" t="n"/>
    </row>
    <row r="54" ht="18" customHeight="1">
      <c r="A54" s="18" t="n"/>
      <c r="B54" s="19" t="n"/>
      <c r="C54" s="19" t="n"/>
      <c r="D54" s="18" t="n"/>
      <c r="E54" s="19" t="n"/>
      <c r="F54" s="13" t="n"/>
      <c r="G54" s="14" t="n"/>
      <c r="H54" s="14" t="n"/>
      <c r="I54" s="14" t="n"/>
      <c r="J54" s="15" t="n"/>
      <c r="K54" s="15" t="n"/>
      <c r="L54" s="16" t="n"/>
      <c r="M54" s="17" t="n"/>
    </row>
    <row r="55" ht="18" customHeight="1">
      <c r="A55" s="11" t="n"/>
      <c r="B55" s="12" t="n"/>
      <c r="C55" s="12" t="n"/>
      <c r="D55" s="11" t="n"/>
      <c r="E55" s="12" t="n"/>
      <c r="F55" s="13" t="n"/>
      <c r="G55" s="14" t="n"/>
      <c r="H55" s="14" t="n"/>
      <c r="I55" s="14" t="n"/>
      <c r="J55" s="15" t="n"/>
      <c r="K55" s="15" t="n"/>
      <c r="L55" s="16" t="n"/>
      <c r="M55" s="17" t="n"/>
    </row>
    <row r="56" ht="18" customHeight="1">
      <c r="A56" s="18" t="n"/>
      <c r="B56" s="19" t="n"/>
      <c r="C56" s="19" t="n"/>
      <c r="D56" s="18" t="n"/>
      <c r="E56" s="19" t="n"/>
      <c r="F56" s="13" t="n"/>
      <c r="G56" s="14" t="n"/>
      <c r="H56" s="14" t="n"/>
      <c r="I56" s="14" t="n"/>
      <c r="J56" s="15" t="n"/>
      <c r="K56" s="15" t="n"/>
      <c r="L56" s="16" t="n"/>
      <c r="M56" s="17" t="n"/>
    </row>
    <row r="57" ht="18" customHeight="1">
      <c r="A57" s="11" t="n"/>
      <c r="B57" s="12" t="n"/>
      <c r="C57" s="12" t="n"/>
      <c r="D57" s="11" t="n"/>
      <c r="E57" s="12" t="n"/>
      <c r="F57" s="13" t="n"/>
      <c r="G57" s="14" t="n"/>
      <c r="H57" s="14" t="n"/>
      <c r="I57" s="14" t="n"/>
      <c r="J57" s="15" t="n"/>
      <c r="K57" s="15" t="n"/>
      <c r="L57" s="16" t="n"/>
      <c r="M57" s="17" t="n"/>
    </row>
    <row r="58" ht="18" customHeight="1">
      <c r="A58" s="18" t="n"/>
      <c r="B58" s="19" t="n"/>
      <c r="C58" s="19" t="n"/>
      <c r="D58" s="18" t="n"/>
      <c r="E58" s="19" t="n"/>
      <c r="F58" s="13" t="n"/>
      <c r="G58" s="14" t="n"/>
      <c r="H58" s="14" t="n"/>
      <c r="I58" s="14" t="n"/>
      <c r="J58" s="15" t="n"/>
      <c r="K58" s="15" t="n"/>
      <c r="L58" s="16" t="n"/>
      <c r="M58" s="17" t="n"/>
    </row>
    <row r="59" ht="18" customHeight="1">
      <c r="A59" s="11" t="n"/>
      <c r="B59" s="12" t="n"/>
      <c r="C59" s="12" t="n"/>
      <c r="D59" s="11" t="n"/>
      <c r="E59" s="12" t="n"/>
      <c r="F59" s="13" t="n"/>
      <c r="G59" s="14" t="n"/>
      <c r="H59" s="14" t="n"/>
      <c r="I59" s="14" t="n"/>
      <c r="J59" s="15" t="n"/>
      <c r="K59" s="15" t="n"/>
      <c r="L59" s="16" t="n"/>
      <c r="M59" s="17" t="n"/>
    </row>
    <row r="60" ht="18" customHeight="1">
      <c r="A60" s="18" t="n"/>
      <c r="B60" s="19" t="n"/>
      <c r="C60" s="19" t="n"/>
      <c r="D60" s="18" t="n"/>
      <c r="E60" s="19" t="n"/>
      <c r="F60" s="13" t="n"/>
      <c r="G60" s="14" t="n"/>
      <c r="H60" s="14" t="n"/>
      <c r="I60" s="14" t="n"/>
      <c r="J60" s="15" t="n"/>
      <c r="K60" s="15" t="n"/>
      <c r="L60" s="16" t="n"/>
      <c r="M60" s="17" t="n"/>
    </row>
    <row r="61" ht="18" customHeight="1">
      <c r="A61" s="11" t="n"/>
      <c r="B61" s="12" t="n"/>
      <c r="C61" s="12" t="n"/>
      <c r="D61" s="11" t="n"/>
      <c r="E61" s="12" t="n"/>
      <c r="F61" s="13" t="n"/>
      <c r="G61" s="14" t="n"/>
      <c r="H61" s="14" t="n"/>
      <c r="I61" s="14" t="n"/>
      <c r="J61" s="15" t="n"/>
      <c r="K61" s="15" t="n"/>
      <c r="L61" s="16" t="n"/>
      <c r="M61" s="17" t="n"/>
    </row>
    <row r="62" ht="18" customHeight="1">
      <c r="A62" s="18" t="n"/>
      <c r="B62" s="19" t="n"/>
      <c r="C62" s="19" t="n"/>
      <c r="D62" s="18" t="n"/>
      <c r="E62" s="19" t="n"/>
      <c r="F62" s="13" t="n"/>
      <c r="G62" s="14" t="n"/>
      <c r="H62" s="14" t="n"/>
      <c r="I62" s="14" t="n"/>
      <c r="J62" s="15" t="n"/>
      <c r="K62" s="15" t="n"/>
      <c r="L62" s="16" t="n"/>
      <c r="M62" s="17" t="n"/>
    </row>
    <row r="63" ht="18" customHeight="1">
      <c r="A63" s="11" t="n"/>
      <c r="B63" s="12" t="n"/>
      <c r="C63" s="12" t="n"/>
      <c r="D63" s="11" t="n"/>
      <c r="E63" s="12" t="n"/>
      <c r="F63" s="13" t="n"/>
      <c r="G63" s="14" t="n"/>
      <c r="H63" s="14" t="n"/>
      <c r="I63" s="14" t="n"/>
      <c r="J63" s="15" t="n"/>
      <c r="K63" s="15" t="n"/>
      <c r="L63" s="16" t="n"/>
      <c r="M63" s="17" t="n"/>
    </row>
    <row r="64" ht="18" customHeight="1">
      <c r="A64" s="18" t="n"/>
      <c r="B64" s="19" t="n"/>
      <c r="C64" s="19" t="n"/>
      <c r="D64" s="18" t="n"/>
      <c r="E64" s="19" t="n"/>
      <c r="F64" s="13" t="n"/>
      <c r="G64" s="14" t="n"/>
      <c r="H64" s="14" t="n"/>
      <c r="I64" s="14" t="n"/>
      <c r="J64" s="15" t="n"/>
      <c r="K64" s="15" t="n"/>
      <c r="L64" s="16" t="n"/>
      <c r="M64" s="17" t="n"/>
    </row>
    <row r="65" ht="18" customHeight="1">
      <c r="A65" s="11" t="n"/>
      <c r="B65" s="12" t="n"/>
      <c r="C65" s="12" t="n"/>
      <c r="D65" s="11" t="n"/>
      <c r="E65" s="12" t="n"/>
      <c r="F65" s="13" t="n"/>
      <c r="G65" s="14" t="n"/>
      <c r="H65" s="14" t="n"/>
      <c r="I65" s="14" t="n"/>
      <c r="J65" s="15" t="n"/>
      <c r="K65" s="15" t="n"/>
      <c r="L65" s="16" t="n"/>
      <c r="M65" s="17" t="n"/>
    </row>
    <row r="66" ht="18" customHeight="1">
      <c r="A66" s="18" t="n"/>
      <c r="B66" s="19" t="n"/>
      <c r="C66" s="19" t="n"/>
      <c r="D66" s="18" t="n"/>
      <c r="E66" s="19" t="n"/>
      <c r="F66" s="13" t="n"/>
      <c r="G66" s="14" t="n"/>
      <c r="H66" s="14" t="n"/>
      <c r="I66" s="14" t="n"/>
      <c r="J66" s="15" t="n"/>
      <c r="K66" s="15" t="n"/>
      <c r="L66" s="16" t="n"/>
      <c r="M66" s="17" t="n"/>
    </row>
    <row r="67" ht="18" customHeight="1">
      <c r="A67" s="11" t="n"/>
      <c r="B67" s="12" t="n"/>
      <c r="C67" s="12" t="n"/>
      <c r="D67" s="11" t="n"/>
      <c r="E67" s="12" t="n"/>
      <c r="F67" s="13" t="n"/>
      <c r="G67" s="14" t="n"/>
      <c r="H67" s="14" t="n"/>
      <c r="I67" s="14" t="n"/>
      <c r="J67" s="15" t="n"/>
      <c r="K67" s="15" t="n"/>
      <c r="L67" s="16" t="n"/>
      <c r="M67" s="17" t="n"/>
    </row>
    <row r="68" ht="18" customHeight="1">
      <c r="A68" s="18" t="n"/>
      <c r="B68" s="19" t="n"/>
      <c r="C68" s="19" t="n"/>
      <c r="D68" s="18" t="n"/>
      <c r="E68" s="19" t="n"/>
      <c r="F68" s="13" t="n"/>
      <c r="G68" s="14" t="n"/>
      <c r="H68" s="14" t="n"/>
      <c r="I68" s="14" t="n"/>
      <c r="J68" s="15" t="n"/>
      <c r="K68" s="15" t="n"/>
      <c r="L68" s="16" t="n"/>
      <c r="M68" s="17" t="n"/>
    </row>
    <row r="69" ht="18" customHeight="1">
      <c r="A69" s="11" t="n"/>
      <c r="B69" s="12" t="n"/>
      <c r="C69" s="12" t="n"/>
      <c r="D69" s="11" t="n"/>
      <c r="E69" s="12" t="n"/>
      <c r="F69" s="13" t="n"/>
      <c r="G69" s="14" t="n"/>
      <c r="H69" s="14" t="n"/>
      <c r="I69" s="14" t="n"/>
      <c r="J69" s="15" t="n"/>
      <c r="K69" s="15" t="n"/>
      <c r="L69" s="16" t="n"/>
      <c r="M69" s="17" t="n"/>
    </row>
    <row r="70" ht="18" customHeight="1">
      <c r="A70" s="18" t="n"/>
      <c r="B70" s="19" t="n"/>
      <c r="C70" s="19" t="n"/>
      <c r="D70" s="18" t="n"/>
      <c r="E70" s="19" t="n"/>
      <c r="F70" s="13" t="n"/>
      <c r="G70" s="14" t="n"/>
      <c r="H70" s="14" t="n"/>
      <c r="I70" s="14" t="n"/>
      <c r="J70" s="15" t="n"/>
      <c r="K70" s="15" t="n"/>
      <c r="L70" s="16" t="n"/>
      <c r="M70" s="17" t="n"/>
    </row>
    <row r="71" ht="18" customHeight="1">
      <c r="A71" s="11" t="n"/>
      <c r="B71" s="12" t="n"/>
      <c r="C71" s="12" t="n"/>
      <c r="D71" s="11" t="n"/>
      <c r="E71" s="12" t="n"/>
      <c r="F71" s="13" t="n"/>
      <c r="G71" s="14" t="n"/>
      <c r="H71" s="14" t="n"/>
      <c r="I71" s="14" t="n"/>
      <c r="J71" s="15" t="n"/>
      <c r="K71" s="15" t="n"/>
      <c r="L71" s="16" t="n"/>
      <c r="M71" s="17" t="n"/>
    </row>
    <row r="72" ht="18" customHeight="1">
      <c r="A72" s="18" t="n"/>
      <c r="B72" s="19" t="n"/>
      <c r="C72" s="19" t="n"/>
      <c r="D72" s="18" t="n"/>
      <c r="E72" s="19" t="n"/>
      <c r="F72" s="13" t="n"/>
      <c r="G72" s="14" t="n"/>
      <c r="H72" s="14" t="n"/>
      <c r="I72" s="14" t="n"/>
      <c r="J72" s="15" t="n"/>
      <c r="K72" s="15" t="n"/>
      <c r="L72" s="16" t="n"/>
      <c r="M72" s="17" t="n"/>
    </row>
    <row r="73" ht="18" customHeight="1">
      <c r="A73" s="11" t="n"/>
      <c r="B73" s="12" t="n"/>
      <c r="C73" s="12" t="n"/>
      <c r="D73" s="11" t="n"/>
      <c r="E73" s="12" t="n"/>
      <c r="F73" s="13" t="n"/>
      <c r="G73" s="14" t="n"/>
      <c r="H73" s="14" t="n"/>
      <c r="I73" s="14" t="n"/>
      <c r="J73" s="15" t="n"/>
      <c r="K73" s="15" t="n"/>
      <c r="L73" s="16" t="n"/>
      <c r="M73" s="17" t="n"/>
    </row>
    <row r="74" ht="18" customHeight="1">
      <c r="A74" s="18" t="n"/>
      <c r="B74" s="19" t="n"/>
      <c r="C74" s="19" t="n"/>
      <c r="D74" s="18" t="n"/>
      <c r="E74" s="19" t="n"/>
      <c r="F74" s="13" t="n"/>
      <c r="G74" s="14" t="n"/>
      <c r="H74" s="14" t="n"/>
      <c r="I74" s="14" t="n"/>
      <c r="J74" s="15" t="n"/>
      <c r="K74" s="15" t="n"/>
      <c r="L74" s="16" t="n"/>
      <c r="M74" s="17" t="n"/>
    </row>
    <row r="75" ht="18" customHeight="1">
      <c r="A75" s="11" t="n"/>
      <c r="B75" s="12" t="n"/>
      <c r="C75" s="12" t="n"/>
      <c r="D75" s="11" t="n"/>
      <c r="E75" s="12" t="n"/>
      <c r="F75" s="13" t="n"/>
      <c r="G75" s="14" t="n"/>
      <c r="H75" s="14" t="n"/>
      <c r="I75" s="14" t="n"/>
      <c r="J75" s="15" t="n"/>
      <c r="K75" s="15" t="n"/>
      <c r="L75" s="16" t="n"/>
      <c r="M75" s="17" t="n"/>
    </row>
    <row r="76" ht="18" customHeight="1">
      <c r="A76" s="18" t="n"/>
      <c r="B76" s="19" t="n"/>
      <c r="C76" s="19" t="n"/>
      <c r="D76" s="18" t="n"/>
      <c r="E76" s="19" t="n"/>
      <c r="F76" s="13" t="n"/>
      <c r="G76" s="14" t="n"/>
      <c r="H76" s="14" t="n"/>
      <c r="I76" s="14" t="n"/>
      <c r="J76" s="15" t="n"/>
      <c r="K76" s="15" t="n"/>
      <c r="L76" s="16" t="n"/>
      <c r="M76" s="17" t="n"/>
    </row>
    <row r="77" ht="18" customHeight="1">
      <c r="A77" s="11" t="n"/>
      <c r="B77" s="12" t="n"/>
      <c r="C77" s="12" t="n"/>
      <c r="D77" s="11" t="n"/>
      <c r="E77" s="12" t="n"/>
      <c r="F77" s="13" t="n"/>
      <c r="G77" s="14" t="n"/>
      <c r="H77" s="14" t="n"/>
      <c r="I77" s="14" t="n"/>
      <c r="J77" s="15" t="n"/>
      <c r="K77" s="15" t="n"/>
      <c r="L77" s="16" t="n"/>
      <c r="M77" s="17" t="n"/>
    </row>
    <row r="78" ht="18" customHeight="1">
      <c r="A78" s="18" t="n"/>
      <c r="B78" s="19" t="n"/>
      <c r="C78" s="19" t="n"/>
      <c r="D78" s="18" t="n"/>
      <c r="E78" s="19" t="n"/>
      <c r="F78" s="13" t="n"/>
      <c r="G78" s="14" t="n"/>
      <c r="H78" s="14" t="n"/>
      <c r="I78" s="14" t="n"/>
      <c r="J78" s="15" t="n"/>
      <c r="K78" s="15" t="n"/>
      <c r="L78" s="16" t="n"/>
      <c r="M78" s="17" t="n"/>
    </row>
    <row r="79" ht="18" customHeight="1">
      <c r="A79" s="11" t="n"/>
      <c r="B79" s="12" t="n"/>
      <c r="C79" s="12" t="n"/>
      <c r="D79" s="11" t="n"/>
      <c r="E79" s="12" t="n"/>
      <c r="F79" s="13" t="n"/>
      <c r="G79" s="14" t="n"/>
      <c r="H79" s="14" t="n"/>
      <c r="I79" s="14" t="n"/>
      <c r="J79" s="15" t="n"/>
      <c r="K79" s="15" t="n"/>
      <c r="L79" s="16" t="n"/>
      <c r="M79" s="17" t="n"/>
    </row>
    <row r="80" ht="18" customHeight="1">
      <c r="A80" s="18" t="n"/>
      <c r="B80" s="19" t="n"/>
      <c r="C80" s="19" t="n"/>
      <c r="D80" s="18" t="n"/>
      <c r="E80" s="19" t="n"/>
      <c r="F80" s="13" t="n"/>
      <c r="G80" s="14" t="n"/>
      <c r="H80" s="14" t="n"/>
      <c r="I80" s="14" t="n"/>
      <c r="J80" s="15" t="n"/>
      <c r="K80" s="15" t="n"/>
      <c r="L80" s="16" t="n"/>
      <c r="M80" s="17" t="n"/>
    </row>
    <row r="81" ht="18" customHeight="1">
      <c r="A81" s="11" t="n"/>
      <c r="B81" s="12" t="n"/>
      <c r="C81" s="12" t="n"/>
      <c r="D81" s="11" t="n"/>
      <c r="E81" s="12" t="n"/>
      <c r="F81" s="13" t="n"/>
      <c r="G81" s="14" t="n"/>
      <c r="H81" s="14" t="n"/>
      <c r="I81" s="14" t="n"/>
      <c r="J81" s="15" t="n"/>
      <c r="K81" s="15" t="n"/>
      <c r="L81" s="16" t="n"/>
      <c r="M81" s="17" t="n"/>
    </row>
    <row r="82" ht="18" customHeight="1">
      <c r="A82" s="18" t="n"/>
      <c r="B82" s="19" t="n"/>
      <c r="C82" s="19" t="n"/>
      <c r="D82" s="18" t="n"/>
      <c r="E82" s="19" t="n"/>
      <c r="F82" s="13" t="n"/>
      <c r="G82" s="14" t="n"/>
      <c r="H82" s="14" t="n"/>
      <c r="I82" s="14" t="n"/>
      <c r="J82" s="15" t="n"/>
      <c r="K82" s="15" t="n"/>
      <c r="L82" s="16" t="n"/>
      <c r="M82" s="17" t="n"/>
    </row>
    <row r="83" ht="18" customHeight="1">
      <c r="A83" s="11" t="n"/>
      <c r="B83" s="12" t="n"/>
      <c r="C83" s="12" t="n"/>
      <c r="D83" s="11" t="n"/>
      <c r="E83" s="12" t="n"/>
      <c r="F83" s="13" t="n"/>
      <c r="G83" s="14" t="n"/>
      <c r="H83" s="14" t="n"/>
      <c r="I83" s="14" t="n"/>
      <c r="J83" s="15" t="n"/>
      <c r="K83" s="15" t="n"/>
      <c r="L83" s="16" t="n"/>
      <c r="M83" s="17" t="n"/>
    </row>
    <row r="84" ht="18" customHeight="1">
      <c r="A84" s="18" t="n"/>
      <c r="B84" s="19" t="n"/>
      <c r="C84" s="19" t="n"/>
      <c r="D84" s="18" t="n"/>
      <c r="E84" s="19" t="n"/>
      <c r="F84" s="13" t="n"/>
      <c r="G84" s="14" t="n"/>
      <c r="H84" s="14" t="n"/>
      <c r="I84" s="14" t="n"/>
      <c r="J84" s="15" t="n"/>
      <c r="K84" s="15" t="n"/>
      <c r="L84" s="16" t="n"/>
      <c r="M84" s="17" t="n"/>
    </row>
    <row r="85" ht="18" customHeight="1">
      <c r="A85" s="11" t="n"/>
      <c r="B85" s="12" t="n"/>
      <c r="C85" s="12" t="n"/>
      <c r="D85" s="11" t="n"/>
      <c r="E85" s="12" t="n"/>
      <c r="F85" s="13" t="n"/>
      <c r="G85" s="14" t="n"/>
      <c r="H85" s="14" t="n"/>
      <c r="I85" s="14" t="n"/>
      <c r="J85" s="15" t="n"/>
      <c r="K85" s="15" t="n"/>
      <c r="L85" s="16" t="n"/>
      <c r="M85" s="17" t="n"/>
    </row>
    <row r="86" ht="18" customHeight="1">
      <c r="A86" s="18" t="n"/>
      <c r="B86" s="19" t="n"/>
      <c r="C86" s="19" t="n"/>
      <c r="D86" s="18" t="n"/>
      <c r="E86" s="19" t="n"/>
      <c r="F86" s="13" t="n"/>
      <c r="G86" s="14" t="n"/>
      <c r="H86" s="14" t="n"/>
      <c r="I86" s="14" t="n"/>
      <c r="J86" s="15" t="n"/>
      <c r="K86" s="15" t="n"/>
      <c r="L86" s="16" t="n"/>
      <c r="M86" s="17" t="n"/>
    </row>
    <row r="87" ht="18" customHeight="1">
      <c r="A87" s="11" t="n"/>
      <c r="B87" s="12" t="n"/>
      <c r="C87" s="12" t="n"/>
      <c r="D87" s="11" t="n"/>
      <c r="E87" s="12" t="n"/>
      <c r="F87" s="13" t="n"/>
      <c r="G87" s="14" t="n"/>
      <c r="H87" s="14" t="n"/>
      <c r="I87" s="14" t="n"/>
      <c r="J87" s="15" t="n"/>
      <c r="K87" s="15" t="n"/>
      <c r="L87" s="16" t="n"/>
      <c r="M87" s="17" t="n"/>
    </row>
    <row r="88" ht="18" customHeight="1">
      <c r="A88" s="18" t="n"/>
      <c r="B88" s="19" t="n"/>
      <c r="C88" s="19" t="n"/>
      <c r="D88" s="18" t="n"/>
      <c r="E88" s="19" t="n"/>
      <c r="F88" s="13" t="n"/>
      <c r="G88" s="14" t="n"/>
      <c r="H88" s="14" t="n"/>
      <c r="I88" s="14" t="n"/>
      <c r="J88" s="15" t="n"/>
      <c r="K88" s="15" t="n"/>
      <c r="L88" s="16" t="n"/>
      <c r="M88" s="17" t="n"/>
    </row>
    <row r="89" ht="18" customHeight="1">
      <c r="A89" s="11" t="n"/>
      <c r="B89" s="12" t="n"/>
      <c r="C89" s="12" t="n"/>
      <c r="D89" s="11" t="n"/>
      <c r="E89" s="12" t="n"/>
      <c r="F89" s="13" t="n"/>
      <c r="G89" s="14" t="n"/>
      <c r="H89" s="14" t="n"/>
      <c r="I89" s="14" t="n"/>
      <c r="J89" s="15" t="n"/>
      <c r="K89" s="15" t="n"/>
      <c r="L89" s="16" t="n"/>
      <c r="M89" s="17" t="n"/>
    </row>
    <row r="90" ht="18" customHeight="1">
      <c r="A90" s="18" t="n"/>
      <c r="B90" s="19" t="n"/>
      <c r="C90" s="19" t="n"/>
      <c r="D90" s="18" t="n"/>
      <c r="E90" s="19" t="n"/>
      <c r="F90" s="13" t="n"/>
      <c r="G90" s="14" t="n"/>
      <c r="H90" s="14" t="n"/>
      <c r="I90" s="14" t="n"/>
      <c r="J90" s="15" t="n"/>
      <c r="K90" s="15" t="n"/>
      <c r="L90" s="16" t="n"/>
      <c r="M90" s="17" t="n"/>
    </row>
    <row r="91" ht="18" customHeight="1">
      <c r="A91" s="11" t="n"/>
      <c r="B91" s="12" t="n"/>
      <c r="C91" s="12" t="n"/>
      <c r="D91" s="11" t="n"/>
      <c r="E91" s="12" t="n"/>
      <c r="F91" s="13" t="n"/>
      <c r="G91" s="14" t="n"/>
      <c r="H91" s="14" t="n"/>
      <c r="I91" s="14" t="n"/>
      <c r="J91" s="15" t="n"/>
      <c r="K91" s="15" t="n"/>
      <c r="L91" s="16" t="n"/>
      <c r="M91" s="17" t="n"/>
    </row>
    <row r="92" ht="18" customHeight="1">
      <c r="A92" s="18" t="n"/>
      <c r="B92" s="19" t="n"/>
      <c r="C92" s="19" t="n"/>
      <c r="D92" s="18" t="n"/>
      <c r="E92" s="19" t="n"/>
      <c r="F92" s="13" t="n"/>
      <c r="G92" s="14" t="n"/>
      <c r="H92" s="14" t="n"/>
      <c r="I92" s="14" t="n"/>
      <c r="J92" s="15" t="n"/>
      <c r="K92" s="15" t="n"/>
      <c r="L92" s="16" t="n"/>
      <c r="M92" s="17" t="n"/>
    </row>
    <row r="93" ht="18" customHeight="1">
      <c r="A93" s="11" t="n"/>
      <c r="B93" s="12" t="n"/>
      <c r="C93" s="12" t="n"/>
      <c r="D93" s="11" t="n"/>
      <c r="E93" s="12" t="n"/>
      <c r="F93" s="13" t="n"/>
      <c r="G93" s="14" t="n"/>
      <c r="H93" s="14" t="n"/>
      <c r="I93" s="14" t="n"/>
      <c r="J93" s="15" t="n"/>
      <c r="K93" s="15" t="n"/>
      <c r="L93" s="16" t="n"/>
      <c r="M93" s="17" t="n"/>
    </row>
    <row r="94" ht="18" customHeight="1">
      <c r="A94" s="18" t="n"/>
      <c r="B94" s="19" t="n"/>
      <c r="C94" s="19" t="n"/>
      <c r="D94" s="18" t="n"/>
      <c r="E94" s="19" t="n"/>
      <c r="F94" s="13" t="n"/>
      <c r="G94" s="14" t="n"/>
      <c r="H94" s="14" t="n"/>
      <c r="I94" s="14" t="n"/>
      <c r="J94" s="15" t="n"/>
      <c r="K94" s="15" t="n"/>
      <c r="L94" s="16" t="n"/>
      <c r="M94" s="17" t="n"/>
    </row>
    <row r="95" ht="18" customHeight="1">
      <c r="A95" s="11" t="n"/>
      <c r="B95" s="12" t="n"/>
      <c r="C95" s="12" t="n"/>
      <c r="D95" s="11" t="n"/>
      <c r="E95" s="12" t="n"/>
      <c r="F95" s="13" t="n"/>
      <c r="G95" s="14" t="n"/>
      <c r="H95" s="14" t="n"/>
      <c r="I95" s="14" t="n"/>
      <c r="J95" s="15" t="n"/>
      <c r="K95" s="15" t="n"/>
      <c r="L95" s="16" t="n"/>
      <c r="M95" s="17" t="n"/>
    </row>
    <row r="96" ht="18" customHeight="1">
      <c r="A96" s="18" t="n"/>
      <c r="B96" s="19" t="n"/>
      <c r="C96" s="19" t="n"/>
      <c r="D96" s="18" t="n"/>
      <c r="E96" s="19" t="n"/>
      <c r="F96" s="13" t="n"/>
      <c r="G96" s="14" t="n"/>
      <c r="H96" s="14" t="n"/>
      <c r="I96" s="14" t="n"/>
      <c r="J96" s="15" t="n"/>
      <c r="K96" s="15" t="n"/>
      <c r="L96" s="16" t="n"/>
      <c r="M96" s="17" t="n"/>
    </row>
    <row r="97" ht="18" customHeight="1">
      <c r="A97" s="11" t="n"/>
      <c r="B97" s="12" t="n"/>
      <c r="C97" s="12" t="n"/>
      <c r="D97" s="11" t="n"/>
      <c r="E97" s="12" t="n"/>
      <c r="F97" s="13" t="n"/>
      <c r="G97" s="14" t="n"/>
      <c r="H97" s="14" t="n"/>
      <c r="I97" s="14" t="n"/>
      <c r="J97" s="15" t="n"/>
      <c r="K97" s="15" t="n"/>
      <c r="L97" s="16" t="n"/>
      <c r="M97" s="17" t="n"/>
    </row>
    <row r="98" ht="18" customHeight="1">
      <c r="A98" s="18" t="n"/>
      <c r="B98" s="19" t="n"/>
      <c r="C98" s="19" t="n"/>
      <c r="D98" s="18" t="n"/>
      <c r="E98" s="19" t="n"/>
      <c r="F98" s="13" t="n"/>
      <c r="G98" s="14" t="n"/>
      <c r="H98" s="14" t="n"/>
      <c r="I98" s="14" t="n"/>
      <c r="J98" s="15" t="n"/>
      <c r="K98" s="15" t="n"/>
      <c r="L98" s="16" t="n"/>
      <c r="M98" s="17" t="n"/>
    </row>
    <row r="99" ht="18" customHeight="1">
      <c r="A99" s="11" t="n"/>
      <c r="B99" s="12" t="n"/>
      <c r="C99" s="12" t="n"/>
      <c r="D99" s="11" t="n"/>
      <c r="E99" s="12" t="n"/>
      <c r="F99" s="13" t="n"/>
      <c r="G99" s="14" t="n"/>
      <c r="H99" s="14" t="n"/>
      <c r="I99" s="14" t="n"/>
      <c r="J99" s="15" t="n"/>
      <c r="K99" s="15" t="n"/>
      <c r="L99" s="16" t="n"/>
      <c r="M99" s="17" t="n"/>
    </row>
    <row r="100" ht="18" customHeight="1">
      <c r="A100" s="18" t="n"/>
      <c r="B100" s="19" t="n"/>
      <c r="C100" s="19" t="n"/>
      <c r="D100" s="18" t="n"/>
      <c r="E100" s="19" t="n"/>
      <c r="F100" s="13" t="n"/>
      <c r="G100" s="14" t="n"/>
      <c r="H100" s="14" t="n"/>
      <c r="I100" s="14" t="n"/>
      <c r="J100" s="15" t="n"/>
      <c r="K100" s="15" t="n"/>
      <c r="L100" s="16" t="n"/>
      <c r="M100" s="17" t="n"/>
    </row>
    <row r="101" ht="18" customHeight="1">
      <c r="A101" s="11" t="n"/>
      <c r="B101" s="12" t="n"/>
      <c r="C101" s="12" t="n"/>
      <c r="D101" s="11" t="n"/>
      <c r="E101" s="12" t="n"/>
      <c r="F101" s="13" t="n"/>
      <c r="G101" s="14" t="n"/>
      <c r="H101" s="14" t="n"/>
      <c r="I101" s="14" t="n"/>
      <c r="J101" s="15" t="n"/>
      <c r="K101" s="15" t="n"/>
      <c r="L101" s="16" t="n"/>
      <c r="M101" s="17" t="n"/>
    </row>
    <row r="102" ht="18" customHeight="1">
      <c r="A102" s="18" t="n"/>
      <c r="B102" s="19" t="n"/>
      <c r="C102" s="19" t="n"/>
      <c r="D102" s="18" t="n"/>
      <c r="E102" s="19" t="n"/>
      <c r="F102" s="13" t="n"/>
      <c r="G102" s="14" t="n"/>
      <c r="H102" s="14" t="n"/>
      <c r="I102" s="14" t="n"/>
      <c r="J102" s="15" t="n"/>
      <c r="K102" s="15" t="n"/>
      <c r="L102" s="16" t="n"/>
      <c r="M102" s="17" t="n"/>
    </row>
    <row r="103" ht="18" customHeight="1">
      <c r="A103" s="11" t="n"/>
      <c r="B103" s="12" t="n"/>
      <c r="C103" s="12" t="n"/>
      <c r="D103" s="11" t="n"/>
      <c r="E103" s="12" t="n"/>
      <c r="F103" s="13" t="n"/>
      <c r="G103" s="14" t="n"/>
      <c r="H103" s="14" t="n"/>
      <c r="I103" s="14" t="n"/>
      <c r="J103" s="15" t="n"/>
      <c r="K103" s="15" t="n"/>
      <c r="L103" s="16" t="n"/>
      <c r="M103" s="17" t="n"/>
    </row>
    <row r="104" ht="18" customHeight="1">
      <c r="A104" s="18" t="n"/>
      <c r="B104" s="19" t="n"/>
      <c r="C104" s="19" t="n"/>
      <c r="D104" s="18" t="n"/>
      <c r="E104" s="19" t="n"/>
      <c r="F104" s="13" t="n"/>
      <c r="G104" s="14" t="n"/>
      <c r="H104" s="14" t="n"/>
      <c r="I104" s="14" t="n"/>
      <c r="J104" s="15" t="n"/>
      <c r="K104" s="15" t="n"/>
      <c r="L104" s="16" t="n"/>
      <c r="M104" s="17" t="n"/>
    </row>
    <row r="105" ht="18" customHeight="1">
      <c r="A105" s="11" t="n"/>
      <c r="B105" s="12" t="n"/>
      <c r="C105" s="12" t="n"/>
      <c r="D105" s="11" t="n"/>
      <c r="E105" s="12" t="n"/>
      <c r="F105" s="13" t="n"/>
      <c r="G105" s="14" t="n"/>
      <c r="H105" s="14" t="n"/>
      <c r="I105" s="14" t="n"/>
      <c r="J105" s="15" t="n"/>
      <c r="K105" s="15" t="n"/>
      <c r="L105" s="16" t="n"/>
      <c r="M105" s="17" t="n"/>
    </row>
    <row r="106" ht="18" customHeight="1">
      <c r="A106" s="18" t="n"/>
      <c r="B106" s="19" t="n"/>
      <c r="C106" s="19" t="n"/>
      <c r="D106" s="18" t="n"/>
      <c r="E106" s="19" t="n"/>
      <c r="F106" s="13" t="n"/>
      <c r="G106" s="14" t="n"/>
      <c r="H106" s="14" t="n"/>
      <c r="I106" s="14" t="n"/>
      <c r="J106" s="15" t="n"/>
      <c r="K106" s="15" t="n"/>
      <c r="L106" s="16" t="n"/>
      <c r="M106" s="17" t="n"/>
    </row>
    <row r="107" ht="18" customHeight="1">
      <c r="A107" s="11" t="n"/>
      <c r="B107" s="12" t="n"/>
      <c r="C107" s="12" t="n"/>
      <c r="D107" s="11" t="n"/>
      <c r="E107" s="12" t="n"/>
      <c r="F107" s="13" t="n"/>
      <c r="G107" s="14" t="n"/>
      <c r="H107" s="14" t="n"/>
      <c r="I107" s="14" t="n"/>
      <c r="J107" s="15" t="n"/>
      <c r="K107" s="15" t="n"/>
      <c r="L107" s="16" t="n"/>
      <c r="M107" s="17" t="n"/>
    </row>
    <row r="108" ht="18" customHeight="1">
      <c r="A108" s="18" t="n"/>
      <c r="B108" s="19" t="n"/>
      <c r="C108" s="19" t="n"/>
      <c r="D108" s="18" t="n"/>
      <c r="E108" s="19" t="n"/>
      <c r="F108" s="13" t="n"/>
      <c r="G108" s="14" t="n"/>
      <c r="H108" s="14" t="n"/>
      <c r="I108" s="14" t="n"/>
      <c r="J108" s="15" t="n"/>
      <c r="K108" s="15" t="n"/>
      <c r="L108" s="16" t="n"/>
      <c r="M108" s="17" t="n"/>
    </row>
    <row r="109" ht="18" customHeight="1">
      <c r="A109" s="11" t="n"/>
      <c r="B109" s="12" t="n"/>
      <c r="C109" s="12" t="n"/>
      <c r="D109" s="11" t="n"/>
      <c r="E109" s="12" t="n"/>
      <c r="F109" s="13" t="n"/>
      <c r="G109" s="14" t="n"/>
      <c r="H109" s="14" t="n"/>
      <c r="I109" s="14" t="n"/>
      <c r="J109" s="15" t="n"/>
      <c r="K109" s="15" t="n"/>
      <c r="L109" s="16" t="n"/>
      <c r="M109" s="17" t="n"/>
    </row>
    <row r="110" ht="18" customHeight="1">
      <c r="A110" s="18" t="n"/>
      <c r="B110" s="19" t="n"/>
      <c r="C110" s="19" t="n"/>
      <c r="D110" s="18" t="n"/>
      <c r="E110" s="19" t="n"/>
      <c r="F110" s="13" t="n"/>
      <c r="G110" s="14" t="n"/>
      <c r="H110" s="14" t="n"/>
      <c r="I110" s="14" t="n"/>
      <c r="J110" s="15" t="n"/>
      <c r="K110" s="15" t="n"/>
      <c r="L110" s="16" t="n"/>
      <c r="M110" s="17" t="n"/>
    </row>
    <row r="111" ht="18" customHeight="1">
      <c r="A111" s="11" t="n"/>
      <c r="B111" s="12" t="n"/>
      <c r="C111" s="12" t="n"/>
      <c r="D111" s="11" t="n"/>
      <c r="E111" s="12" t="n"/>
      <c r="F111" s="13" t="n"/>
      <c r="G111" s="14" t="n"/>
      <c r="H111" s="14" t="n"/>
      <c r="I111" s="14" t="n"/>
      <c r="J111" s="15" t="n"/>
      <c r="K111" s="15" t="n"/>
      <c r="L111" s="16" t="n"/>
      <c r="M111" s="17" t="n"/>
    </row>
    <row r="112" ht="18" customHeight="1">
      <c r="A112" s="18" t="n"/>
      <c r="B112" s="19" t="n"/>
      <c r="C112" s="19" t="n"/>
      <c r="D112" s="18" t="n"/>
      <c r="E112" s="19" t="n"/>
      <c r="F112" s="13" t="n"/>
      <c r="G112" s="14" t="n"/>
      <c r="H112" s="14" t="n"/>
      <c r="I112" s="14" t="n"/>
      <c r="J112" s="15" t="n"/>
      <c r="K112" s="15" t="n"/>
      <c r="L112" s="16" t="n"/>
      <c r="M112" s="17" t="n"/>
    </row>
    <row r="113" ht="18" customHeight="1">
      <c r="A113" s="11" t="n"/>
      <c r="B113" s="12" t="n"/>
      <c r="C113" s="12" t="n"/>
      <c r="D113" s="11" t="n"/>
      <c r="E113" s="12" t="n"/>
      <c r="F113" s="13" t="n"/>
      <c r="G113" s="14" t="n"/>
      <c r="H113" s="14" t="n"/>
      <c r="I113" s="14" t="n"/>
      <c r="J113" s="15" t="n"/>
      <c r="K113" s="15" t="n"/>
      <c r="L113" s="16" t="n"/>
      <c r="M113" s="17" t="n"/>
    </row>
    <row r="114" ht="18" customHeight="1">
      <c r="A114" s="18" t="n"/>
      <c r="B114" s="19" t="n"/>
      <c r="C114" s="19" t="n"/>
      <c r="D114" s="18" t="n"/>
      <c r="E114" s="19" t="n"/>
      <c r="F114" s="13" t="n"/>
      <c r="G114" s="14" t="n"/>
      <c r="H114" s="14" t="n"/>
      <c r="I114" s="14" t="n"/>
      <c r="J114" s="15" t="n"/>
      <c r="K114" s="15" t="n"/>
      <c r="L114" s="16" t="n"/>
      <c r="M114" s="17" t="n"/>
    </row>
    <row r="115" ht="18" customHeight="1">
      <c r="A115" s="11" t="n"/>
      <c r="B115" s="12" t="n"/>
      <c r="C115" s="12" t="n"/>
      <c r="D115" s="11" t="n"/>
      <c r="E115" s="12" t="n"/>
      <c r="F115" s="13" t="n"/>
      <c r="G115" s="14" t="n"/>
      <c r="H115" s="14" t="n"/>
      <c r="I115" s="14" t="n"/>
      <c r="J115" s="15" t="n"/>
      <c r="K115" s="15" t="n"/>
      <c r="L115" s="16" t="n"/>
      <c r="M115" s="17" t="n"/>
    </row>
    <row r="116" ht="18" customHeight="1">
      <c r="A116" s="18" t="n"/>
      <c r="B116" s="19" t="n"/>
      <c r="C116" s="19" t="n"/>
      <c r="D116" s="18" t="n"/>
      <c r="E116" s="19" t="n"/>
      <c r="F116" s="13" t="n"/>
      <c r="G116" s="14" t="n"/>
      <c r="H116" s="14" t="n"/>
      <c r="I116" s="14" t="n"/>
      <c r="J116" s="15" t="n"/>
      <c r="K116" s="15" t="n"/>
      <c r="L116" s="16" t="n"/>
      <c r="M116" s="17" t="n"/>
    </row>
    <row r="117" ht="18" customHeight="1">
      <c r="A117" s="11" t="n"/>
      <c r="B117" s="12" t="n"/>
      <c r="C117" s="12" t="n"/>
      <c r="D117" s="11" t="n"/>
      <c r="E117" s="12" t="n"/>
      <c r="F117" s="13" t="n"/>
      <c r="G117" s="14" t="n"/>
      <c r="H117" s="14" t="n"/>
      <c r="I117" s="14" t="n"/>
      <c r="J117" s="15" t="n"/>
      <c r="K117" s="15" t="n"/>
      <c r="L117" s="16" t="n"/>
      <c r="M117" s="17" t="n"/>
    </row>
    <row r="118" ht="18" customHeight="1">
      <c r="A118" s="18" t="n"/>
      <c r="B118" s="19" t="n"/>
      <c r="C118" s="19" t="n"/>
      <c r="D118" s="18" t="n"/>
      <c r="E118" s="19" t="n"/>
      <c r="F118" s="13" t="n"/>
      <c r="G118" s="14" t="n"/>
      <c r="H118" s="14" t="n"/>
      <c r="I118" s="14" t="n"/>
      <c r="J118" s="15" t="n"/>
      <c r="K118" s="15" t="n"/>
      <c r="L118" s="16" t="n"/>
      <c r="M118" s="17" t="n"/>
    </row>
    <row r="119" ht="18" customHeight="1">
      <c r="A119" s="11" t="n"/>
      <c r="B119" s="12" t="n"/>
      <c r="C119" s="12" t="n"/>
      <c r="D119" s="11" t="n"/>
      <c r="E119" s="12" t="n"/>
      <c r="F119" s="13" t="n"/>
      <c r="G119" s="14" t="n"/>
      <c r="H119" s="14" t="n"/>
      <c r="I119" s="14" t="n"/>
      <c r="J119" s="15" t="n"/>
      <c r="K119" s="15" t="n"/>
      <c r="L119" s="16" t="n"/>
      <c r="M119" s="17" t="n"/>
    </row>
    <row r="120" ht="18" customHeight="1">
      <c r="A120" s="18" t="n"/>
      <c r="B120" s="19" t="n"/>
      <c r="C120" s="19" t="n"/>
      <c r="D120" s="18" t="n"/>
      <c r="E120" s="19" t="n"/>
      <c r="F120" s="13" t="n"/>
      <c r="G120" s="14" t="n"/>
      <c r="H120" s="14" t="n"/>
      <c r="I120" s="14" t="n"/>
      <c r="J120" s="15" t="n"/>
      <c r="K120" s="15" t="n"/>
      <c r="L120" s="16" t="n"/>
      <c r="M120" s="17" t="n"/>
    </row>
    <row r="121" ht="18" customHeight="1">
      <c r="A121" s="11" t="n"/>
      <c r="B121" s="12" t="n"/>
      <c r="C121" s="12" t="n"/>
      <c r="D121" s="11" t="n"/>
      <c r="E121" s="12" t="n"/>
      <c r="F121" s="13" t="n"/>
      <c r="G121" s="14" t="n"/>
      <c r="H121" s="14" t="n"/>
      <c r="I121" s="14" t="n"/>
      <c r="J121" s="15" t="n"/>
      <c r="K121" s="15" t="n"/>
      <c r="L121" s="16" t="n"/>
      <c r="M121" s="17" t="n"/>
    </row>
    <row r="122" ht="18" customHeight="1">
      <c r="A122" s="18" t="n"/>
      <c r="B122" s="19" t="n"/>
      <c r="C122" s="19" t="n"/>
      <c r="D122" s="18" t="n"/>
      <c r="E122" s="19" t="n"/>
      <c r="F122" s="13" t="n"/>
      <c r="G122" s="14" t="n"/>
      <c r="H122" s="14" t="n"/>
      <c r="I122" s="14" t="n"/>
      <c r="J122" s="15" t="n"/>
      <c r="K122" s="15" t="n"/>
      <c r="L122" s="16" t="n"/>
      <c r="M122" s="17" t="n"/>
    </row>
    <row r="123" ht="18" customHeight="1">
      <c r="A123" s="11" t="n"/>
      <c r="B123" s="12" t="n"/>
      <c r="C123" s="12" t="n"/>
      <c r="D123" s="11" t="n"/>
      <c r="E123" s="12" t="n"/>
      <c r="F123" s="13" t="n"/>
      <c r="G123" s="14" t="n"/>
      <c r="H123" s="14" t="n"/>
      <c r="I123" s="14" t="n"/>
      <c r="J123" s="15" t="n"/>
      <c r="K123" s="15" t="n"/>
      <c r="L123" s="16" t="n"/>
      <c r="M123" s="17" t="n"/>
    </row>
    <row r="124" ht="18" customHeight="1">
      <c r="A124" s="18" t="n"/>
      <c r="B124" s="19" t="n"/>
      <c r="C124" s="19" t="n"/>
      <c r="D124" s="18" t="n"/>
      <c r="E124" s="19" t="n"/>
      <c r="F124" s="13" t="n"/>
      <c r="G124" s="14" t="n"/>
      <c r="H124" s="14" t="n"/>
      <c r="I124" s="14" t="n"/>
      <c r="J124" s="15" t="n"/>
      <c r="K124" s="15" t="n"/>
      <c r="L124" s="16" t="n"/>
      <c r="M124" s="17" t="n"/>
    </row>
    <row r="125" ht="18" customHeight="1">
      <c r="A125" s="11" t="n"/>
      <c r="B125" s="12" t="n"/>
      <c r="C125" s="12" t="n"/>
      <c r="D125" s="11" t="n"/>
      <c r="E125" s="12" t="n"/>
      <c r="F125" s="13" t="n"/>
      <c r="G125" s="14" t="n"/>
      <c r="H125" s="14" t="n"/>
      <c r="I125" s="14" t="n"/>
      <c r="J125" s="15" t="n"/>
      <c r="K125" s="15" t="n"/>
      <c r="L125" s="16" t="n"/>
      <c r="M125" s="17" t="n"/>
    </row>
    <row r="126" ht="18" customHeight="1">
      <c r="A126" s="18" t="n"/>
      <c r="B126" s="19" t="n"/>
      <c r="C126" s="19" t="n"/>
      <c r="D126" s="18" t="n"/>
      <c r="E126" s="19" t="n"/>
      <c r="F126" s="13" t="n"/>
      <c r="G126" s="14" t="n"/>
      <c r="H126" s="14" t="n"/>
      <c r="I126" s="14" t="n"/>
      <c r="J126" s="15" t="n"/>
      <c r="K126" s="15" t="n"/>
      <c r="L126" s="16" t="n"/>
      <c r="M126" s="17" t="n"/>
    </row>
    <row r="127" ht="18" customHeight="1">
      <c r="A127" s="11" t="n"/>
      <c r="B127" s="12" t="n"/>
      <c r="C127" s="12" t="n"/>
      <c r="D127" s="11" t="n"/>
      <c r="E127" s="12" t="n"/>
      <c r="F127" s="13" t="n"/>
      <c r="G127" s="14" t="n"/>
      <c r="H127" s="14" t="n"/>
      <c r="I127" s="14" t="n"/>
      <c r="J127" s="15" t="n"/>
      <c r="K127" s="15" t="n"/>
      <c r="L127" s="16" t="n"/>
      <c r="M127" s="17" t="n"/>
    </row>
    <row r="128" ht="18" customHeight="1">
      <c r="A128" s="18" t="n"/>
      <c r="B128" s="19" t="n"/>
      <c r="C128" s="19" t="n"/>
      <c r="D128" s="18" t="n"/>
      <c r="E128" s="19" t="n"/>
      <c r="F128" s="13" t="n"/>
      <c r="G128" s="14" t="n"/>
      <c r="H128" s="14" t="n"/>
      <c r="I128" s="14" t="n"/>
      <c r="J128" s="15" t="n"/>
      <c r="K128" s="15" t="n"/>
      <c r="L128" s="16" t="n"/>
      <c r="M128" s="17" t="n"/>
    </row>
    <row r="129" ht="18" customHeight="1">
      <c r="A129" s="11" t="n"/>
      <c r="B129" s="12" t="n"/>
      <c r="C129" s="12" t="n"/>
      <c r="D129" s="11" t="n"/>
      <c r="E129" s="12" t="n"/>
      <c r="F129" s="13" t="n"/>
      <c r="G129" s="14" t="n"/>
      <c r="H129" s="14" t="n"/>
      <c r="I129" s="14" t="n"/>
      <c r="J129" s="15" t="n"/>
      <c r="K129" s="15" t="n"/>
      <c r="L129" s="16" t="n"/>
      <c r="M129" s="17" t="n"/>
    </row>
    <row r="130" ht="18" customHeight="1">
      <c r="A130" s="18" t="n"/>
      <c r="B130" s="19" t="n"/>
      <c r="C130" s="19" t="n"/>
      <c r="D130" s="18" t="n"/>
      <c r="E130" s="19" t="n"/>
      <c r="F130" s="13" t="n"/>
      <c r="G130" s="14" t="n"/>
      <c r="H130" s="14" t="n"/>
      <c r="I130" s="14" t="n"/>
      <c r="J130" s="15" t="n"/>
      <c r="K130" s="15" t="n"/>
      <c r="L130" s="16" t="n"/>
      <c r="M130" s="17" t="n"/>
    </row>
    <row r="131" ht="18" customHeight="1">
      <c r="A131" s="11" t="n"/>
      <c r="B131" s="12" t="n"/>
      <c r="C131" s="12" t="n"/>
      <c r="D131" s="11" t="n"/>
      <c r="E131" s="12" t="n"/>
      <c r="F131" s="13" t="n"/>
      <c r="G131" s="14" t="n"/>
      <c r="H131" s="14" t="n"/>
      <c r="I131" s="14" t="n"/>
      <c r="J131" s="15" t="n"/>
      <c r="K131" s="15" t="n"/>
      <c r="L131" s="16" t="n"/>
      <c r="M131" s="17" t="n"/>
    </row>
    <row r="132" ht="18" customHeight="1">
      <c r="A132" s="18" t="n"/>
      <c r="B132" s="19" t="n"/>
      <c r="C132" s="19" t="n"/>
      <c r="D132" s="18" t="n"/>
      <c r="E132" s="19" t="n"/>
      <c r="F132" s="13" t="n"/>
      <c r="G132" s="14" t="n"/>
      <c r="H132" s="14" t="n"/>
      <c r="I132" s="14" t="n"/>
      <c r="J132" s="15" t="n"/>
      <c r="K132" s="15" t="n"/>
      <c r="L132" s="16" t="n"/>
      <c r="M132" s="17" t="n"/>
    </row>
    <row r="133" ht="18" customHeight="1">
      <c r="A133" s="11" t="n"/>
      <c r="B133" s="12" t="n"/>
      <c r="C133" s="12" t="n"/>
      <c r="D133" s="11" t="n"/>
      <c r="E133" s="12" t="n"/>
      <c r="F133" s="13" t="n"/>
      <c r="G133" s="14" t="n"/>
      <c r="H133" s="14" t="n"/>
      <c r="I133" s="14" t="n"/>
      <c r="J133" s="15" t="n"/>
      <c r="K133" s="15" t="n"/>
      <c r="L133" s="16" t="n"/>
      <c r="M133" s="17" t="n"/>
    </row>
    <row r="134" ht="18" customHeight="1">
      <c r="A134" s="18" t="n"/>
      <c r="B134" s="19" t="n"/>
      <c r="C134" s="19" t="n"/>
      <c r="D134" s="18" t="n"/>
      <c r="E134" s="19" t="n"/>
      <c r="F134" s="13" t="n"/>
      <c r="G134" s="14" t="n"/>
      <c r="H134" s="14" t="n"/>
      <c r="I134" s="14" t="n"/>
      <c r="J134" s="15" t="n"/>
      <c r="K134" s="15" t="n"/>
      <c r="L134" s="16" t="n"/>
      <c r="M134" s="17" t="n"/>
    </row>
    <row r="135" ht="18" customHeight="1">
      <c r="A135" s="11" t="n"/>
      <c r="B135" s="12" t="n"/>
      <c r="C135" s="12" t="n"/>
      <c r="D135" s="11" t="n"/>
      <c r="E135" s="12" t="n"/>
      <c r="F135" s="13" t="n"/>
      <c r="G135" s="14" t="n"/>
      <c r="H135" s="14" t="n"/>
      <c r="I135" s="14" t="n"/>
      <c r="J135" s="15" t="n"/>
      <c r="K135" s="15" t="n"/>
      <c r="L135" s="16" t="n"/>
      <c r="M135" s="17" t="n"/>
    </row>
    <row r="136" ht="18" customHeight="1">
      <c r="A136" s="18" t="n"/>
      <c r="B136" s="19" t="n"/>
      <c r="C136" s="19" t="n"/>
      <c r="D136" s="18" t="n"/>
      <c r="E136" s="19" t="n"/>
      <c r="F136" s="13" t="n"/>
      <c r="G136" s="14" t="n"/>
      <c r="H136" s="14" t="n"/>
      <c r="I136" s="14" t="n"/>
      <c r="J136" s="15" t="n"/>
      <c r="K136" s="15" t="n"/>
      <c r="L136" s="16" t="n"/>
      <c r="M136" s="17" t="n"/>
    </row>
    <row r="137" ht="18" customHeight="1">
      <c r="A137" s="11" t="n"/>
      <c r="B137" s="12" t="n"/>
      <c r="C137" s="12" t="n"/>
      <c r="D137" s="11" t="n"/>
      <c r="E137" s="12" t="n"/>
      <c r="F137" s="13" t="n"/>
      <c r="G137" s="14" t="n"/>
      <c r="H137" s="14" t="n"/>
      <c r="I137" s="14" t="n"/>
      <c r="J137" s="15" t="n"/>
      <c r="K137" s="15" t="n"/>
      <c r="L137" s="16" t="n"/>
      <c r="M137" s="17" t="n"/>
    </row>
    <row r="138" ht="18" customHeight="1">
      <c r="A138" s="18" t="n"/>
      <c r="B138" s="19" t="n"/>
      <c r="C138" s="19" t="n"/>
      <c r="D138" s="18" t="n"/>
      <c r="E138" s="19" t="n"/>
      <c r="F138" s="13" t="n"/>
      <c r="G138" s="14" t="n"/>
      <c r="H138" s="14" t="n"/>
      <c r="I138" s="14" t="n"/>
      <c r="J138" s="15" t="n"/>
      <c r="K138" s="15" t="n"/>
      <c r="L138" s="16" t="n"/>
      <c r="M138" s="17" t="n"/>
    </row>
    <row r="139" ht="18" customHeight="1">
      <c r="A139" s="11" t="n"/>
      <c r="B139" s="12" t="n"/>
      <c r="C139" s="12" t="n"/>
      <c r="D139" s="11" t="n"/>
      <c r="E139" s="12" t="n"/>
      <c r="F139" s="13" t="n"/>
      <c r="G139" s="14" t="n"/>
      <c r="H139" s="14" t="n"/>
      <c r="I139" s="14" t="n"/>
      <c r="J139" s="15" t="n"/>
      <c r="K139" s="15" t="n"/>
      <c r="L139" s="16" t="n"/>
      <c r="M139" s="17" t="n"/>
    </row>
    <row r="140" ht="18" customHeight="1">
      <c r="A140" s="18" t="n"/>
      <c r="B140" s="19" t="n"/>
      <c r="C140" s="19" t="n"/>
      <c r="D140" s="18" t="n"/>
      <c r="E140" s="19" t="n"/>
      <c r="F140" s="13" t="n"/>
      <c r="G140" s="14" t="n"/>
      <c r="H140" s="14" t="n"/>
      <c r="I140" s="14" t="n"/>
      <c r="J140" s="15" t="n"/>
      <c r="K140" s="15" t="n"/>
      <c r="L140" s="16" t="n"/>
      <c r="M140" s="17" t="n"/>
    </row>
    <row r="141" ht="18" customHeight="1">
      <c r="A141" s="11" t="n"/>
      <c r="B141" s="12" t="n"/>
      <c r="C141" s="12" t="n"/>
      <c r="D141" s="11" t="n"/>
      <c r="E141" s="12" t="n"/>
      <c r="F141" s="13" t="n"/>
      <c r="G141" s="14" t="n"/>
      <c r="H141" s="14" t="n"/>
      <c r="I141" s="14" t="n"/>
      <c r="J141" s="15" t="n"/>
      <c r="K141" s="15" t="n"/>
      <c r="L141" s="16" t="n"/>
      <c r="M141" s="17" t="n"/>
    </row>
    <row r="142" ht="18" customHeight="1">
      <c r="A142" s="18" t="n"/>
      <c r="B142" s="19" t="n"/>
      <c r="C142" s="19" t="n"/>
      <c r="D142" s="18" t="n"/>
      <c r="E142" s="19" t="n"/>
      <c r="F142" s="13" t="n"/>
      <c r="G142" s="14" t="n"/>
      <c r="H142" s="14" t="n"/>
      <c r="I142" s="14" t="n"/>
      <c r="J142" s="15" t="n"/>
      <c r="K142" s="15" t="n"/>
      <c r="L142" s="16" t="n"/>
      <c r="M142" s="17" t="n"/>
    </row>
    <row r="143" ht="18" customHeight="1">
      <c r="A143" s="11" t="n"/>
      <c r="B143" s="12" t="n"/>
      <c r="C143" s="12" t="n"/>
      <c r="D143" s="11" t="n"/>
      <c r="E143" s="12" t="n"/>
      <c r="F143" s="13" t="n"/>
      <c r="G143" s="14" t="n"/>
      <c r="H143" s="14" t="n"/>
      <c r="I143" s="14" t="n"/>
      <c r="J143" s="15" t="n"/>
      <c r="K143" s="15" t="n"/>
      <c r="L143" s="16" t="n"/>
      <c r="M143" s="17" t="n"/>
    </row>
    <row r="144" ht="18" customHeight="1">
      <c r="A144" s="18" t="n"/>
      <c r="B144" s="19" t="n"/>
      <c r="C144" s="19" t="n"/>
      <c r="D144" s="18" t="n"/>
      <c r="E144" s="19" t="n"/>
      <c r="F144" s="13" t="n"/>
      <c r="G144" s="14" t="n"/>
      <c r="H144" s="14" t="n"/>
      <c r="I144" s="14" t="n"/>
      <c r="J144" s="15" t="n"/>
      <c r="K144" s="15" t="n"/>
      <c r="L144" s="16" t="n"/>
      <c r="M144" s="17" t="n"/>
    </row>
    <row r="145" ht="18" customHeight="1">
      <c r="A145" s="11" t="n"/>
      <c r="B145" s="12" t="n"/>
      <c r="C145" s="12" t="n"/>
      <c r="D145" s="11" t="n"/>
      <c r="E145" s="12" t="n"/>
      <c r="F145" s="13" t="n"/>
      <c r="G145" s="14" t="n"/>
      <c r="H145" s="14" t="n"/>
      <c r="I145" s="14" t="n"/>
      <c r="J145" s="15" t="n"/>
      <c r="K145" s="15" t="n"/>
      <c r="L145" s="16" t="n"/>
      <c r="M145" s="17" t="n"/>
    </row>
    <row r="146" ht="18" customHeight="1">
      <c r="A146" s="18" t="n"/>
      <c r="B146" s="19" t="n"/>
      <c r="C146" s="19" t="n"/>
      <c r="D146" s="18" t="n"/>
      <c r="E146" s="19" t="n"/>
      <c r="F146" s="13" t="n"/>
      <c r="G146" s="14" t="n"/>
      <c r="H146" s="14" t="n"/>
      <c r="I146" s="14" t="n"/>
      <c r="J146" s="15" t="n"/>
      <c r="K146" s="15" t="n"/>
      <c r="L146" s="16" t="n"/>
      <c r="M146" s="17" t="n"/>
    </row>
    <row r="147" ht="18" customHeight="1">
      <c r="A147" s="11" t="n"/>
      <c r="B147" s="12" t="n"/>
      <c r="C147" s="12" t="n"/>
      <c r="D147" s="11" t="n"/>
      <c r="E147" s="12" t="n"/>
      <c r="F147" s="13" t="n"/>
      <c r="G147" s="14" t="n"/>
      <c r="H147" s="14" t="n"/>
      <c r="I147" s="14" t="n"/>
      <c r="J147" s="15" t="n"/>
      <c r="K147" s="15" t="n"/>
      <c r="L147" s="16" t="n"/>
      <c r="M147" s="17" t="n"/>
    </row>
    <row r="148" ht="18" customHeight="1">
      <c r="A148" s="18" t="n"/>
      <c r="B148" s="19" t="n"/>
      <c r="C148" s="19" t="n"/>
      <c r="D148" s="18" t="n"/>
      <c r="E148" s="19" t="n"/>
      <c r="F148" s="13" t="n"/>
      <c r="G148" s="14" t="n"/>
      <c r="H148" s="14" t="n"/>
      <c r="I148" s="14" t="n"/>
      <c r="J148" s="15" t="n"/>
      <c r="K148" s="15" t="n"/>
      <c r="L148" s="16" t="n"/>
      <c r="M148" s="17" t="n"/>
    </row>
    <row r="149" ht="18" customHeight="1">
      <c r="A149" s="11" t="n"/>
      <c r="B149" s="12" t="n"/>
      <c r="C149" s="12" t="n"/>
      <c r="D149" s="11" t="n"/>
      <c r="E149" s="12" t="n"/>
      <c r="F149" s="13" t="n"/>
      <c r="G149" s="14" t="n"/>
      <c r="H149" s="14" t="n"/>
      <c r="I149" s="14" t="n"/>
      <c r="J149" s="15" t="n"/>
      <c r="K149" s="15" t="n"/>
      <c r="L149" s="16" t="n"/>
      <c r="M149" s="17" t="n"/>
    </row>
    <row r="150" ht="18" customHeight="1">
      <c r="A150" s="18" t="n"/>
      <c r="B150" s="19" t="n"/>
      <c r="C150" s="19" t="n"/>
      <c r="D150" s="18" t="n"/>
      <c r="E150" s="19" t="n"/>
      <c r="F150" s="13" t="n"/>
      <c r="G150" s="14" t="n"/>
      <c r="H150" s="14" t="n"/>
      <c r="I150" s="14" t="n"/>
      <c r="J150" s="15" t="n"/>
      <c r="K150" s="15" t="n"/>
      <c r="L150" s="16" t="n"/>
      <c r="M150" s="17" t="n"/>
    </row>
    <row r="151" ht="18" customHeight="1">
      <c r="A151" s="11" t="n"/>
      <c r="B151" s="12" t="n"/>
      <c r="C151" s="12" t="n"/>
      <c r="D151" s="11" t="n"/>
      <c r="E151" s="12" t="n"/>
      <c r="F151" s="13" t="n"/>
      <c r="G151" s="14" t="n"/>
      <c r="H151" s="14" t="n"/>
      <c r="I151" s="14" t="n"/>
      <c r="J151" s="15" t="n"/>
      <c r="K151" s="15" t="n"/>
      <c r="L151" s="16" t="n"/>
      <c r="M151" s="17" t="n"/>
    </row>
    <row r="152" ht="18" customHeight="1">
      <c r="A152" s="18" t="n"/>
      <c r="B152" s="19" t="n"/>
      <c r="C152" s="19" t="n"/>
      <c r="D152" s="18" t="n"/>
      <c r="E152" s="19" t="n"/>
      <c r="F152" s="13" t="n"/>
      <c r="G152" s="14" t="n"/>
      <c r="H152" s="14" t="n"/>
      <c r="I152" s="14" t="n"/>
      <c r="J152" s="15" t="n"/>
      <c r="K152" s="15" t="n"/>
      <c r="L152" s="16" t="n"/>
      <c r="M152" s="17" t="n"/>
    </row>
    <row r="153" ht="18" customHeight="1">
      <c r="A153" s="11" t="n"/>
      <c r="B153" s="12" t="n"/>
      <c r="C153" s="12" t="n"/>
      <c r="D153" s="11" t="n"/>
      <c r="E153" s="12" t="n"/>
      <c r="F153" s="13" t="n"/>
      <c r="G153" s="14" t="n"/>
      <c r="H153" s="14" t="n"/>
      <c r="I153" s="14" t="n"/>
      <c r="J153" s="15" t="n"/>
      <c r="K153" s="15" t="n"/>
      <c r="L153" s="16" t="n"/>
      <c r="M153" s="17" t="n"/>
    </row>
    <row r="154" ht="18" customHeight="1">
      <c r="A154" s="18" t="n"/>
      <c r="B154" s="19" t="n"/>
      <c r="C154" s="19" t="n"/>
      <c r="D154" s="18" t="n"/>
      <c r="E154" s="19" t="n"/>
      <c r="F154" s="13" t="n"/>
      <c r="G154" s="14" t="n"/>
      <c r="H154" s="14" t="n"/>
      <c r="I154" s="14" t="n"/>
      <c r="J154" s="15" t="n"/>
      <c r="K154" s="15" t="n"/>
      <c r="L154" s="16" t="n"/>
      <c r="M154" s="17" t="n"/>
    </row>
    <row r="155" ht="18" customHeight="1">
      <c r="A155" s="11" t="n"/>
      <c r="B155" s="12" t="n"/>
      <c r="C155" s="12" t="n"/>
      <c r="D155" s="11" t="n"/>
      <c r="E155" s="12" t="n"/>
      <c r="F155" s="13" t="n"/>
      <c r="G155" s="14" t="n"/>
      <c r="H155" s="14" t="n"/>
      <c r="I155" s="14" t="n"/>
      <c r="J155" s="15" t="n"/>
      <c r="K155" s="15" t="n"/>
      <c r="L155" s="16" t="n"/>
      <c r="M155" s="17" t="n"/>
    </row>
    <row r="156" ht="18" customHeight="1">
      <c r="A156" s="18" t="n"/>
      <c r="B156" s="19" t="n"/>
      <c r="C156" s="19" t="n"/>
      <c r="D156" s="18" t="n"/>
      <c r="E156" s="19" t="n"/>
      <c r="F156" s="13" t="n"/>
      <c r="G156" s="14" t="n"/>
      <c r="H156" s="14" t="n"/>
      <c r="I156" s="14" t="n"/>
      <c r="J156" s="15" t="n"/>
      <c r="K156" s="15" t="n"/>
      <c r="L156" s="16" t="n"/>
      <c r="M156" s="17" t="n"/>
    </row>
    <row r="157" ht="18" customHeight="1">
      <c r="A157" s="11" t="n"/>
      <c r="B157" s="12" t="n"/>
      <c r="C157" s="12" t="n"/>
      <c r="D157" s="11" t="n"/>
      <c r="E157" s="12" t="n"/>
      <c r="F157" s="13" t="n"/>
      <c r="G157" s="14" t="n"/>
      <c r="H157" s="14" t="n"/>
      <c r="I157" s="14" t="n"/>
      <c r="J157" s="15" t="n"/>
      <c r="K157" s="15" t="n"/>
      <c r="L157" s="16" t="n"/>
      <c r="M157" s="17" t="n"/>
    </row>
    <row r="158" ht="18" customHeight="1">
      <c r="A158" s="18" t="n"/>
      <c r="B158" s="19" t="n"/>
      <c r="C158" s="19" t="n"/>
      <c r="D158" s="18" t="n"/>
      <c r="E158" s="19" t="n"/>
      <c r="F158" s="13" t="n"/>
      <c r="G158" s="14" t="n"/>
      <c r="H158" s="14" t="n"/>
      <c r="I158" s="14" t="n"/>
      <c r="J158" s="15" t="n"/>
      <c r="K158" s="15" t="n"/>
      <c r="L158" s="16" t="n"/>
      <c r="M158" s="17" t="n"/>
    </row>
    <row r="159" ht="18" customHeight="1">
      <c r="A159" s="11" t="n"/>
      <c r="B159" s="12" t="n"/>
      <c r="C159" s="12" t="n"/>
      <c r="D159" s="11" t="n"/>
      <c r="E159" s="12" t="n"/>
      <c r="F159" s="13" t="n"/>
      <c r="G159" s="14" t="n"/>
      <c r="H159" s="14" t="n"/>
      <c r="I159" s="14" t="n"/>
      <c r="J159" s="15" t="n"/>
      <c r="K159" s="15" t="n"/>
      <c r="L159" s="16" t="n"/>
      <c r="M159" s="17" t="n"/>
    </row>
    <row r="160" ht="18" customHeight="1">
      <c r="A160" s="18" t="n"/>
      <c r="B160" s="19" t="n"/>
      <c r="C160" s="19" t="n"/>
      <c r="D160" s="18" t="n"/>
      <c r="E160" s="19" t="n"/>
      <c r="F160" s="13" t="n"/>
      <c r="G160" s="14" t="n"/>
      <c r="H160" s="14" t="n"/>
      <c r="I160" s="14" t="n"/>
      <c r="J160" s="15" t="n"/>
      <c r="K160" s="15" t="n"/>
      <c r="L160" s="16" t="n"/>
      <c r="M160" s="17" t="n"/>
    </row>
    <row r="161" ht="18" customHeight="1">
      <c r="A161" s="11" t="n"/>
      <c r="B161" s="12" t="n"/>
      <c r="C161" s="12" t="n"/>
      <c r="D161" s="11" t="n"/>
      <c r="E161" s="12" t="n"/>
      <c r="F161" s="13" t="n"/>
      <c r="G161" s="14" t="n"/>
      <c r="H161" s="14" t="n"/>
      <c r="I161" s="14" t="n"/>
      <c r="J161" s="15" t="n"/>
      <c r="K161" s="15" t="n"/>
      <c r="L161" s="16" t="n"/>
      <c r="M161" s="17" t="n"/>
    </row>
    <row r="162" ht="18" customHeight="1">
      <c r="A162" s="18" t="n"/>
      <c r="B162" s="19" t="n"/>
      <c r="C162" s="19" t="n"/>
      <c r="D162" s="18" t="n"/>
      <c r="E162" s="19" t="n"/>
      <c r="F162" s="13" t="n"/>
      <c r="G162" s="14" t="n"/>
      <c r="H162" s="14" t="n"/>
      <c r="I162" s="14" t="n"/>
      <c r="J162" s="15" t="n"/>
      <c r="K162" s="15" t="n"/>
      <c r="L162" s="16" t="n"/>
      <c r="M162" s="17" t="n"/>
    </row>
    <row r="163" ht="18" customHeight="1">
      <c r="A163" s="11" t="n"/>
      <c r="B163" s="12" t="n"/>
      <c r="C163" s="12" t="n"/>
      <c r="D163" s="11" t="n"/>
      <c r="E163" s="12" t="n"/>
      <c r="F163" s="13" t="n"/>
      <c r="G163" s="14" t="n"/>
      <c r="H163" s="14" t="n"/>
      <c r="I163" s="14" t="n"/>
      <c r="J163" s="15" t="n"/>
      <c r="K163" s="15" t="n"/>
      <c r="L163" s="16" t="n"/>
      <c r="M163" s="17" t="n"/>
    </row>
    <row r="164" ht="18" customHeight="1">
      <c r="A164" s="18" t="n"/>
      <c r="B164" s="19" t="n"/>
      <c r="C164" s="19" t="n"/>
      <c r="D164" s="18" t="n"/>
      <c r="E164" s="19" t="n"/>
      <c r="F164" s="13" t="n"/>
      <c r="G164" s="14" t="n"/>
      <c r="H164" s="14" t="n"/>
      <c r="I164" s="14" t="n"/>
      <c r="J164" s="15" t="n"/>
      <c r="K164" s="15" t="n"/>
      <c r="L164" s="16" t="n"/>
      <c r="M164" s="17" t="n"/>
    </row>
    <row r="165" ht="18" customHeight="1">
      <c r="A165" s="11" t="n"/>
      <c r="B165" s="12" t="n"/>
      <c r="C165" s="12" t="n"/>
      <c r="D165" s="11" t="n"/>
      <c r="E165" s="12" t="n"/>
      <c r="F165" s="13" t="n"/>
      <c r="G165" s="14" t="n"/>
      <c r="H165" s="14" t="n"/>
      <c r="I165" s="14" t="n"/>
      <c r="J165" s="15" t="n"/>
      <c r="K165" s="15" t="n"/>
      <c r="L165" s="16" t="n"/>
      <c r="M165" s="17" t="n"/>
    </row>
    <row r="166" ht="18" customHeight="1">
      <c r="A166" s="18" t="n"/>
      <c r="B166" s="19" t="n"/>
      <c r="C166" s="19" t="n"/>
      <c r="D166" s="18" t="n"/>
      <c r="E166" s="19" t="n"/>
      <c r="F166" s="13" t="n"/>
      <c r="G166" s="14" t="n"/>
      <c r="H166" s="14" t="n"/>
      <c r="I166" s="14" t="n"/>
      <c r="J166" s="15" t="n"/>
      <c r="K166" s="15" t="n"/>
      <c r="L166" s="16" t="n"/>
      <c r="M166" s="17" t="n"/>
    </row>
    <row r="167" ht="18" customHeight="1">
      <c r="A167" s="11" t="n"/>
      <c r="B167" s="12" t="n"/>
      <c r="C167" s="12" t="n"/>
      <c r="D167" s="11" t="n"/>
      <c r="E167" s="12" t="n"/>
      <c r="F167" s="13" t="n"/>
      <c r="G167" s="14" t="n"/>
      <c r="H167" s="14" t="n"/>
      <c r="I167" s="14" t="n"/>
      <c r="J167" s="15" t="n"/>
      <c r="K167" s="15" t="n"/>
      <c r="L167" s="16" t="n"/>
      <c r="M167" s="17" t="n"/>
    </row>
    <row r="168" ht="18" customHeight="1">
      <c r="A168" s="18" t="n"/>
      <c r="B168" s="19" t="n"/>
      <c r="C168" s="19" t="n"/>
      <c r="D168" s="18" t="n"/>
      <c r="E168" s="19" t="n"/>
      <c r="F168" s="13" t="n"/>
      <c r="G168" s="14" t="n"/>
      <c r="H168" s="14" t="n"/>
      <c r="I168" s="14" t="n"/>
      <c r="J168" s="15" t="n"/>
      <c r="K168" s="15" t="n"/>
      <c r="L168" s="16" t="n"/>
      <c r="M168" s="17" t="n"/>
    </row>
    <row r="169" ht="18" customHeight="1">
      <c r="A169" s="11" t="n"/>
      <c r="B169" s="12" t="n"/>
      <c r="C169" s="12" t="n"/>
      <c r="D169" s="11" t="n"/>
      <c r="E169" s="12" t="n"/>
      <c r="F169" s="13" t="n"/>
      <c r="G169" s="14" t="n"/>
      <c r="H169" s="14" t="n"/>
      <c r="I169" s="14" t="n"/>
      <c r="J169" s="15" t="n"/>
      <c r="K169" s="15" t="n"/>
      <c r="L169" s="16" t="n"/>
      <c r="M169" s="17" t="n"/>
    </row>
    <row r="170" ht="18" customHeight="1">
      <c r="A170" s="18" t="n"/>
      <c r="B170" s="19" t="n"/>
      <c r="C170" s="19" t="n"/>
      <c r="D170" s="18" t="n"/>
      <c r="E170" s="19" t="n"/>
      <c r="F170" s="13" t="n"/>
      <c r="G170" s="14" t="n"/>
      <c r="H170" s="14" t="n"/>
      <c r="I170" s="14" t="n"/>
      <c r="J170" s="15" t="n"/>
      <c r="K170" s="15" t="n"/>
      <c r="L170" s="16" t="n"/>
      <c r="M170" s="17" t="n"/>
    </row>
    <row r="171" ht="18" customHeight="1">
      <c r="A171" s="11" t="n"/>
      <c r="B171" s="12" t="n"/>
      <c r="C171" s="12" t="n"/>
      <c r="D171" s="11" t="n"/>
      <c r="E171" s="12" t="n"/>
      <c r="F171" s="13" t="n"/>
      <c r="G171" s="14" t="n"/>
      <c r="H171" s="14" t="n"/>
      <c r="I171" s="14" t="n"/>
      <c r="J171" s="15" t="n"/>
      <c r="K171" s="15" t="n"/>
      <c r="L171" s="16" t="n"/>
      <c r="M171" s="17" t="n"/>
    </row>
    <row r="172" ht="18" customHeight="1">
      <c r="A172" s="18" t="n"/>
      <c r="B172" s="19" t="n"/>
      <c r="C172" s="19" t="n"/>
      <c r="D172" s="18" t="n"/>
      <c r="E172" s="19" t="n"/>
      <c r="F172" s="13" t="n"/>
      <c r="G172" s="14" t="n"/>
      <c r="H172" s="14" t="n"/>
      <c r="I172" s="14" t="n"/>
      <c r="J172" s="15" t="n"/>
      <c r="K172" s="15" t="n"/>
      <c r="L172" s="16" t="n"/>
      <c r="M172" s="17" t="n"/>
    </row>
    <row r="173" ht="18" customHeight="1">
      <c r="A173" s="11" t="n"/>
      <c r="B173" s="12" t="n"/>
      <c r="C173" s="12" t="n"/>
      <c r="D173" s="11" t="n"/>
      <c r="E173" s="12" t="n"/>
      <c r="F173" s="13" t="n"/>
      <c r="G173" s="14" t="n"/>
      <c r="H173" s="14" t="n"/>
      <c r="I173" s="14" t="n"/>
      <c r="J173" s="15" t="n"/>
      <c r="K173" s="15" t="n"/>
      <c r="L173" s="16" t="n"/>
      <c r="M173" s="17" t="n"/>
    </row>
    <row r="174" ht="18" customHeight="1">
      <c r="A174" s="18" t="n"/>
      <c r="B174" s="19" t="n"/>
      <c r="C174" s="19" t="n"/>
      <c r="D174" s="18" t="n"/>
      <c r="E174" s="19" t="n"/>
      <c r="F174" s="13" t="n"/>
      <c r="G174" s="14" t="n"/>
      <c r="H174" s="14" t="n"/>
      <c r="I174" s="14" t="n"/>
      <c r="J174" s="15" t="n"/>
      <c r="K174" s="15" t="n"/>
      <c r="L174" s="16" t="n"/>
      <c r="M174" s="17" t="n"/>
    </row>
    <row r="175" ht="18" customHeight="1">
      <c r="A175" s="11" t="n"/>
      <c r="B175" s="12" t="n"/>
      <c r="C175" s="12" t="n"/>
      <c r="D175" s="11" t="n"/>
      <c r="E175" s="12" t="n"/>
      <c r="F175" s="13" t="n"/>
      <c r="G175" s="14" t="n"/>
      <c r="H175" s="14" t="n"/>
      <c r="I175" s="14" t="n"/>
      <c r="J175" s="15" t="n"/>
      <c r="K175" s="15" t="n"/>
      <c r="L175" s="16" t="n"/>
      <c r="M175" s="17" t="n"/>
    </row>
    <row r="176" ht="18" customHeight="1">
      <c r="A176" s="18" t="n"/>
      <c r="B176" s="19" t="n"/>
      <c r="C176" s="19" t="n"/>
      <c r="D176" s="18" t="n"/>
      <c r="E176" s="19" t="n"/>
      <c r="F176" s="13" t="n"/>
      <c r="G176" s="14" t="n"/>
      <c r="H176" s="14" t="n"/>
      <c r="I176" s="14" t="n"/>
      <c r="J176" s="15" t="n"/>
      <c r="K176" s="15" t="n"/>
      <c r="L176" s="16" t="n"/>
      <c r="M176" s="17" t="n"/>
    </row>
    <row r="177" ht="18" customHeight="1">
      <c r="A177" s="11" t="n"/>
      <c r="B177" s="12" t="n"/>
      <c r="C177" s="12" t="n"/>
      <c r="D177" s="11" t="n"/>
      <c r="E177" s="12" t="n"/>
      <c r="F177" s="13" t="n"/>
      <c r="G177" s="14" t="n"/>
      <c r="H177" s="14" t="n"/>
      <c r="I177" s="14" t="n"/>
      <c r="J177" s="15" t="n"/>
      <c r="K177" s="15" t="n"/>
      <c r="L177" s="16" t="n"/>
      <c r="M177" s="17" t="n"/>
    </row>
    <row r="178" ht="18" customHeight="1">
      <c r="A178" s="18" t="n"/>
      <c r="B178" s="19" t="n"/>
      <c r="C178" s="19" t="n"/>
      <c r="D178" s="18" t="n"/>
      <c r="E178" s="19" t="n"/>
      <c r="F178" s="13" t="n"/>
      <c r="G178" s="14" t="n"/>
      <c r="H178" s="14" t="n"/>
      <c r="I178" s="14" t="n"/>
      <c r="J178" s="15" t="n"/>
      <c r="K178" s="15" t="n"/>
      <c r="L178" s="16" t="n"/>
      <c r="M178" s="17" t="n"/>
    </row>
    <row r="179" ht="18" customHeight="1">
      <c r="A179" s="11" t="n"/>
      <c r="B179" s="12" t="n"/>
      <c r="C179" s="12" t="n"/>
      <c r="D179" s="11" t="n"/>
      <c r="E179" s="12" t="n"/>
      <c r="F179" s="13" t="n"/>
      <c r="G179" s="14" t="n"/>
      <c r="H179" s="14" t="n"/>
      <c r="I179" s="14" t="n"/>
      <c r="J179" s="15" t="n"/>
      <c r="K179" s="15" t="n"/>
      <c r="L179" s="16" t="n"/>
      <c r="M179" s="17" t="n"/>
    </row>
    <row r="180" ht="18" customHeight="1">
      <c r="A180" s="18" t="n"/>
      <c r="B180" s="19" t="n"/>
      <c r="C180" s="19" t="n"/>
      <c r="D180" s="18" t="n"/>
      <c r="E180" s="19" t="n"/>
      <c r="F180" s="13" t="n"/>
      <c r="G180" s="14" t="n"/>
      <c r="H180" s="14" t="n"/>
      <c r="I180" s="14" t="n"/>
      <c r="J180" s="15" t="n"/>
      <c r="K180" s="15" t="n"/>
      <c r="L180" s="16" t="n"/>
      <c r="M180" s="17" t="n"/>
    </row>
    <row r="181" ht="18" customHeight="1">
      <c r="A181" s="11" t="n"/>
      <c r="B181" s="12" t="n"/>
      <c r="C181" s="12" t="n"/>
      <c r="D181" s="11" t="n"/>
      <c r="E181" s="12" t="n"/>
      <c r="F181" s="13" t="n"/>
      <c r="G181" s="14" t="n"/>
      <c r="H181" s="14" t="n"/>
      <c r="I181" s="14" t="n"/>
      <c r="J181" s="15" t="n"/>
      <c r="K181" s="15" t="n"/>
      <c r="L181" s="16" t="n"/>
      <c r="M181" s="17" t="n"/>
    </row>
    <row r="182" ht="18" customHeight="1">
      <c r="A182" s="18" t="n"/>
      <c r="B182" s="19" t="n"/>
      <c r="C182" s="19" t="n"/>
      <c r="D182" s="18" t="n"/>
      <c r="E182" s="19" t="n"/>
      <c r="F182" s="13" t="n"/>
      <c r="G182" s="14" t="n"/>
      <c r="H182" s="14" t="n"/>
      <c r="I182" s="14" t="n"/>
      <c r="J182" s="15" t="n"/>
      <c r="K182" s="15" t="n"/>
      <c r="L182" s="16" t="n"/>
      <c r="M182" s="17" t="n"/>
    </row>
    <row r="183" ht="18" customHeight="1">
      <c r="A183" s="11" t="n"/>
      <c r="B183" s="12" t="n"/>
      <c r="C183" s="12" t="n"/>
      <c r="D183" s="11" t="n"/>
      <c r="E183" s="12" t="n"/>
      <c r="F183" s="13" t="n"/>
      <c r="G183" s="14" t="n"/>
      <c r="H183" s="14" t="n"/>
      <c r="I183" s="14" t="n"/>
      <c r="J183" s="15" t="n"/>
      <c r="K183" s="15" t="n"/>
      <c r="L183" s="16" t="n"/>
      <c r="M183" s="17" t="n"/>
    </row>
    <row r="184" ht="18" customHeight="1">
      <c r="A184" s="18" t="n"/>
      <c r="B184" s="19" t="n"/>
      <c r="C184" s="19" t="n"/>
      <c r="D184" s="18" t="n"/>
      <c r="E184" s="19" t="n"/>
      <c r="F184" s="13" t="n"/>
      <c r="G184" s="14" t="n"/>
      <c r="H184" s="14" t="n"/>
      <c r="I184" s="14" t="n"/>
      <c r="J184" s="15" t="n"/>
      <c r="K184" s="15" t="n"/>
      <c r="L184" s="16" t="n"/>
      <c r="M184" s="17" t="n"/>
    </row>
    <row r="185" ht="18" customHeight="1">
      <c r="A185" s="11" t="n"/>
      <c r="B185" s="12" t="n"/>
      <c r="C185" s="12" t="n"/>
      <c r="D185" s="11" t="n"/>
      <c r="E185" s="12" t="n"/>
      <c r="F185" s="13" t="n"/>
      <c r="G185" s="14" t="n"/>
      <c r="H185" s="14" t="n"/>
      <c r="I185" s="14" t="n"/>
      <c r="J185" s="15" t="n"/>
      <c r="K185" s="15" t="n"/>
      <c r="L185" s="16" t="n"/>
      <c r="M185" s="17" t="n"/>
    </row>
    <row r="186" ht="18" customHeight="1">
      <c r="A186" s="18" t="n"/>
      <c r="B186" s="19" t="n"/>
      <c r="C186" s="19" t="n"/>
      <c r="D186" s="18" t="n"/>
      <c r="E186" s="19" t="n"/>
      <c r="F186" s="13" t="n"/>
      <c r="G186" s="14" t="n"/>
      <c r="H186" s="14" t="n"/>
      <c r="I186" s="14" t="n"/>
      <c r="J186" s="15" t="n"/>
      <c r="K186" s="15" t="n"/>
      <c r="L186" s="16" t="n"/>
      <c r="M186" s="17" t="n"/>
    </row>
    <row r="187" ht="18" customHeight="1">
      <c r="A187" s="11" t="n"/>
      <c r="B187" s="12" t="n"/>
      <c r="C187" s="12" t="n"/>
      <c r="D187" s="11" t="n"/>
      <c r="E187" s="12" t="n"/>
      <c r="F187" s="13" t="n"/>
      <c r="G187" s="14" t="n"/>
      <c r="H187" s="14" t="n"/>
      <c r="I187" s="14" t="n"/>
      <c r="J187" s="15" t="n"/>
      <c r="K187" s="15" t="n"/>
      <c r="L187" s="16" t="n"/>
      <c r="M187" s="17" t="n"/>
    </row>
    <row r="188" ht="18" customHeight="1">
      <c r="A188" s="18" t="n"/>
      <c r="B188" s="19" t="n"/>
      <c r="C188" s="19" t="n"/>
      <c r="D188" s="18" t="n"/>
      <c r="E188" s="19" t="n"/>
      <c r="F188" s="13" t="n"/>
      <c r="G188" s="14" t="n"/>
      <c r="H188" s="14" t="n"/>
      <c r="I188" s="14" t="n"/>
      <c r="J188" s="15" t="n"/>
      <c r="K188" s="15" t="n"/>
      <c r="L188" s="16" t="n"/>
      <c r="M188" s="17" t="n"/>
    </row>
    <row r="189" ht="18" customHeight="1">
      <c r="A189" s="11" t="n"/>
      <c r="B189" s="12" t="n"/>
      <c r="C189" s="12" t="n"/>
      <c r="D189" s="11" t="n"/>
      <c r="E189" s="12" t="n"/>
      <c r="F189" s="13" t="n"/>
      <c r="G189" s="14" t="n"/>
      <c r="H189" s="14" t="n"/>
      <c r="I189" s="14" t="n"/>
      <c r="J189" s="15" t="n"/>
      <c r="K189" s="15" t="n"/>
      <c r="L189" s="16" t="n"/>
      <c r="M189" s="17" t="n"/>
    </row>
    <row r="190" ht="18" customHeight="1">
      <c r="A190" s="18" t="n"/>
      <c r="B190" s="19" t="n"/>
      <c r="C190" s="19" t="n"/>
      <c r="D190" s="18" t="n"/>
      <c r="E190" s="19" t="n"/>
      <c r="F190" s="13" t="n"/>
      <c r="G190" s="14" t="n"/>
      <c r="H190" s="14" t="n"/>
      <c r="I190" s="14" t="n"/>
      <c r="J190" s="15" t="n"/>
      <c r="K190" s="15" t="n"/>
      <c r="L190" s="16" t="n"/>
      <c r="M190" s="17" t="n"/>
    </row>
    <row r="191" ht="18" customHeight="1">
      <c r="A191" s="11" t="n"/>
      <c r="B191" s="12" t="n"/>
      <c r="C191" s="12" t="n"/>
      <c r="D191" s="11" t="n"/>
      <c r="E191" s="12" t="n"/>
      <c r="F191" s="13" t="n"/>
      <c r="G191" s="14" t="n"/>
      <c r="H191" s="14" t="n"/>
      <c r="I191" s="14" t="n"/>
      <c r="J191" s="15" t="n"/>
      <c r="K191" s="15" t="n"/>
      <c r="L191" s="16" t="n"/>
      <c r="M191" s="17" t="n"/>
    </row>
    <row r="192" ht="18" customHeight="1">
      <c r="A192" s="18" t="n"/>
      <c r="B192" s="19" t="n"/>
      <c r="C192" s="19" t="n"/>
      <c r="D192" s="18" t="n"/>
      <c r="E192" s="19" t="n"/>
      <c r="F192" s="13" t="n"/>
      <c r="G192" s="14" t="n"/>
      <c r="H192" s="14" t="n"/>
      <c r="I192" s="14" t="n"/>
      <c r="J192" s="15" t="n"/>
      <c r="K192" s="15" t="n"/>
      <c r="L192" s="16" t="n"/>
      <c r="M192" s="17" t="n"/>
    </row>
    <row r="193" ht="18" customHeight="1">
      <c r="A193" s="11" t="n"/>
      <c r="B193" s="12" t="n"/>
      <c r="C193" s="12" t="n"/>
      <c r="D193" s="11" t="n"/>
      <c r="E193" s="12" t="n"/>
      <c r="F193" s="13" t="n"/>
      <c r="G193" s="14" t="n"/>
      <c r="H193" s="14" t="n"/>
      <c r="I193" s="14" t="n"/>
      <c r="J193" s="15" t="n"/>
      <c r="K193" s="15" t="n"/>
      <c r="L193" s="16" t="n"/>
      <c r="M193" s="17" t="n"/>
    </row>
  </sheetData>
  <mergeCells count="2">
    <mergeCell ref="A2:M2"/>
    <mergeCell ref="A1:M1"/>
  </mergeCells>
  <conditionalFormatting sqref="K5:K193">
    <cfRule type="cellIs" priority="2" operator="greaterThan" dxfId="0">
      <formula>0</formula>
    </cfRule>
  </conditionalFormatting>
  <conditionalFormatting sqref="L5:L193">
    <cfRule type="cellIs" priority="3" operator="greaterThan" dxfId="2">
      <formula>0</formula>
    </cfRule>
  </conditionalFormatting>
  <dataValidations count="2">
    <dataValidation sqref="G5:G193" showDropDown="0" showInputMessage="0" showErrorMessage="0" allowBlank="1" error="Seleziona un valore dall'elenco" prompt="Scegli la modalità di pagamento" type="list">
      <formula1>"Bonifico Bancario,Contanti,Assegno,RID/SDD,Carta di Credito,PayPal,Altro"</formula1>
      <formula2>0</formula2>
    </dataValidation>
    <dataValidation sqref="H5:H193" showDropDown="0" showInputMessage="0" showErrorMessage="0" allowBlank="1" prompt="Scegli la periodicità del pagamento" type="list">
      <formula1>"Mensile,Bimestrale,Trimestrale,Semestrale,Annuale,Una Tantum"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2"/>
  <sheetViews>
    <sheetView zoomScaleNormal="100" workbookViewId="0">
      <pane ySplit="4" topLeftCell="A5" activePane="bottomLeft" state="frozen"/>
      <selection pane="bottomLeft" activeCell="G5" sqref="G5"/>
    </sheetView>
  </sheetViews>
  <sheetFormatPr baseColWidth="8" defaultColWidth="8.7109375" defaultRowHeight="15"/>
  <cols>
    <col width="14" customWidth="1" min="1" max="1"/>
    <col width="12" customWidth="1" min="2" max="2"/>
    <col width="34" customWidth="1" min="3" max="3"/>
    <col width="14" customWidth="1" min="4" max="4"/>
    <col width="16" customWidth="1" min="5" max="6"/>
    <col width="30" customWidth="1" min="7" max="7"/>
  </cols>
  <sheetData>
    <row r="1" ht="25.5" customHeight="1">
      <c r="A1" s="28" t="inlineStr">
        <is>
          <t>REGISTRO ACCONTI VERSATI</t>
        </is>
      </c>
    </row>
    <row r="2" ht="15.75" customHeight="1">
      <c r="A2" s="29" t="inlineStr">
        <is>
          <t>Inserire un acconto per riga. Il codice cliente richiama automaticamente la ragione sociale.</t>
        </is>
      </c>
    </row>
    <row r="4" ht="31.5" customHeight="1">
      <c r="A4" s="10" t="inlineStr">
        <is>
          <t>Data
Versamento</t>
        </is>
      </c>
      <c r="B4" s="10" t="inlineStr">
        <is>
          <t>Codice
Cliente</t>
        </is>
      </c>
      <c r="C4" s="10" t="inlineStr">
        <is>
          <t>Ragione Sociale
(automatico)</t>
        </is>
      </c>
      <c r="D4" s="10" t="inlineStr">
        <is>
          <t>Importo
Acconto €</t>
        </is>
      </c>
      <c r="E4" s="10" t="inlineStr">
        <is>
          <t>Modalità di
Pagamento</t>
        </is>
      </c>
      <c r="F4" s="10" t="inlineStr">
        <is>
          <t>Periodo di
Fatturazione</t>
        </is>
      </c>
      <c r="G4" s="10" t="inlineStr">
        <is>
          <t>Note</t>
        </is>
      </c>
    </row>
    <row r="5" ht="15.75" customHeight="1">
      <c r="A5" s="32" t="n"/>
      <c r="B5" s="21" t="n"/>
      <c r="C5" s="22">
        <f>IF($B5="","",IFERROR(INDEX(Clienti!$B:$B,MATCH($B5,Clienti!$A:$A,0)),"Codice non trovato"))</f>
        <v/>
      </c>
      <c r="D5" s="23" t="n"/>
      <c r="E5" s="21" t="n"/>
      <c r="F5" s="24" t="n"/>
      <c r="G5" s="24" t="n"/>
    </row>
    <row r="6" ht="15.75" customHeight="1">
      <c r="A6" s="32" t="n"/>
      <c r="B6" s="21" t="n"/>
      <c r="C6" s="22">
        <f>IF($B6="","",IFERROR(INDEX(Clienti!$B:$B,MATCH($B6,Clienti!$A:$A,0)),"Codice non trovato"))</f>
        <v/>
      </c>
      <c r="D6" s="23" t="n"/>
      <c r="E6" s="21" t="n"/>
      <c r="F6" s="24" t="n"/>
      <c r="G6" s="24" t="n"/>
    </row>
    <row r="7" ht="15.75" customHeight="1">
      <c r="A7" s="32" t="n"/>
      <c r="B7" s="21" t="n"/>
      <c r="C7" s="22">
        <f>IF($B7="","",IFERROR(INDEX(Clienti!$B:$B,MATCH($B7,Clienti!$A:$A,0)),"Codice non trovato"))</f>
        <v/>
      </c>
      <c r="D7" s="23" t="n"/>
      <c r="E7" s="21" t="n"/>
      <c r="F7" s="24" t="n"/>
      <c r="G7" s="24" t="n"/>
    </row>
    <row r="8" ht="15.75" customHeight="1">
      <c r="A8" s="32" t="n"/>
      <c r="B8" s="21" t="n"/>
      <c r="C8" s="22">
        <f>IF($B8="","",IFERROR(INDEX(Clienti!$B:$B,MATCH($B8,Clienti!$A:$A,0)),"Codice non trovato"))</f>
        <v/>
      </c>
      <c r="D8" s="23" t="n"/>
      <c r="E8" s="21" t="n"/>
      <c r="F8" s="24" t="n"/>
      <c r="G8" s="24" t="n"/>
    </row>
    <row r="9" ht="15.75" customHeight="1">
      <c r="A9" s="32" t="n"/>
      <c r="B9" s="21" t="n"/>
      <c r="C9" s="22">
        <f>IF($B9="","",IFERROR(INDEX(Clienti!$B:$B,MATCH($B9,Clienti!$A:$A,0)),"Codice non trovato"))</f>
        <v/>
      </c>
      <c r="D9" s="23" t="n"/>
      <c r="E9" s="21" t="n"/>
      <c r="F9" s="24" t="n"/>
      <c r="G9" s="24" t="n"/>
    </row>
    <row r="10" ht="15.75" customHeight="1">
      <c r="A10" s="32" t="n"/>
      <c r="B10" s="21" t="n"/>
      <c r="C10" s="22">
        <f>IF($B10="","",IFERROR(INDEX(Clienti!$B:$B,MATCH($B10,Clienti!$A:$A,0)),"Codice non trovato"))</f>
        <v/>
      </c>
      <c r="D10" s="23" t="n"/>
      <c r="E10" s="21" t="n"/>
      <c r="F10" s="24" t="n"/>
      <c r="G10" s="24" t="n"/>
    </row>
    <row r="11" ht="15.75" customHeight="1">
      <c r="A11" s="32" t="n"/>
      <c r="B11" s="21" t="n"/>
      <c r="C11" s="22">
        <f>IF($B11="","",IFERROR(INDEX(Clienti!$B:$B,MATCH($B11,Clienti!$A:$A,0)),"Codice non trovato"))</f>
        <v/>
      </c>
      <c r="D11" s="23" t="n"/>
      <c r="E11" s="21" t="n"/>
      <c r="F11" s="24" t="n"/>
      <c r="G11" s="24" t="n"/>
    </row>
    <row r="12" ht="15.75" customHeight="1">
      <c r="A12" s="32" t="n"/>
      <c r="B12" s="21" t="n"/>
      <c r="C12" s="22">
        <f>IF($B12="","",IFERROR(INDEX(Clienti!$B:$B,MATCH($B12,Clienti!$A:$A,0)),"Codice non trovato"))</f>
        <v/>
      </c>
      <c r="D12" s="23" t="n"/>
      <c r="E12" s="21" t="n"/>
      <c r="F12" s="24" t="n"/>
      <c r="G12" s="24" t="n"/>
    </row>
    <row r="13" ht="15.75" customHeight="1">
      <c r="A13" s="32" t="n"/>
      <c r="B13" s="21" t="n"/>
      <c r="C13" s="22">
        <f>IF($B13="","",IFERROR(INDEX(Clienti!$B:$B,MATCH($B13,Clienti!$A:$A,0)),"Codice non trovato"))</f>
        <v/>
      </c>
      <c r="D13" s="23" t="n"/>
      <c r="E13" s="21" t="n"/>
      <c r="F13" s="24" t="n"/>
      <c r="G13" s="24" t="n"/>
    </row>
    <row r="14" ht="15.75" customHeight="1">
      <c r="A14" s="20" t="n"/>
      <c r="B14" s="21" t="n"/>
      <c r="C14" s="22">
        <f>IF($B14="","",IFERROR(INDEX(Clienti!$B:$B,MATCH($B14,Clienti!$A:$A,0)),"Codice non trovato"))</f>
        <v/>
      </c>
      <c r="D14" s="23" t="n"/>
      <c r="E14" s="21" t="n"/>
      <c r="F14" s="24" t="n"/>
      <c r="G14" s="24" t="n"/>
    </row>
    <row r="15" ht="15.75" customHeight="1">
      <c r="A15" s="20" t="n"/>
      <c r="B15" s="21" t="n"/>
      <c r="C15" s="22">
        <f>IF($B15="","",IFERROR(INDEX(Clienti!$B:$B,MATCH($B15,Clienti!$A:$A,0)),"Codice non trovato"))</f>
        <v/>
      </c>
      <c r="D15" s="23" t="n"/>
      <c r="E15" s="21" t="n"/>
      <c r="F15" s="24" t="n"/>
      <c r="G15" s="24" t="n"/>
    </row>
    <row r="16" ht="15.75" customHeight="1">
      <c r="A16" s="20" t="n"/>
      <c r="B16" s="21" t="n"/>
      <c r="C16" s="22">
        <f>IF($B16="","",IFERROR(INDEX(Clienti!$B:$B,MATCH($B16,Clienti!$A:$A,0)),"Codice non trovato"))</f>
        <v/>
      </c>
      <c r="D16" s="23" t="n"/>
      <c r="E16" s="21" t="n"/>
      <c r="F16" s="24" t="n"/>
      <c r="G16" s="24" t="n"/>
    </row>
    <row r="17" ht="15.75" customHeight="1">
      <c r="A17" s="20" t="n"/>
      <c r="B17" s="21" t="n"/>
      <c r="C17" s="22">
        <f>IF($B17="","",IFERROR(INDEX(Clienti!$B:$B,MATCH($B17,Clienti!$A:$A,0)),"Codice non trovato"))</f>
        <v/>
      </c>
      <c r="D17" s="23" t="n"/>
      <c r="E17" s="21" t="n"/>
      <c r="F17" s="24" t="n"/>
      <c r="G17" s="24" t="n"/>
    </row>
    <row r="18" ht="15.75" customHeight="1">
      <c r="A18" s="20" t="n"/>
      <c r="B18" s="21" t="n"/>
      <c r="C18" s="22">
        <f>IF($B18="","",IFERROR(INDEX(Clienti!$B:$B,MATCH($B18,Clienti!$A:$A,0)),"Codice non trovato"))</f>
        <v/>
      </c>
      <c r="D18" s="23" t="n"/>
      <c r="E18" s="21" t="n"/>
      <c r="F18" s="24" t="n"/>
      <c r="G18" s="24" t="n"/>
    </row>
    <row r="19" ht="15.75" customHeight="1">
      <c r="A19" s="20" t="n"/>
      <c r="B19" s="21" t="n"/>
      <c r="C19" s="22">
        <f>IF($B19="","",IFERROR(INDEX(Clienti!$B:$B,MATCH($B19,Clienti!$A:$A,0)),"Codice non trovato"))</f>
        <v/>
      </c>
      <c r="D19" s="23" t="n"/>
      <c r="E19" s="21" t="n"/>
      <c r="F19" s="24" t="n"/>
      <c r="G19" s="24" t="n"/>
    </row>
    <row r="20" ht="15.75" customHeight="1">
      <c r="A20" s="20" t="n"/>
      <c r="B20" s="21" t="n"/>
      <c r="C20" s="22">
        <f>IF($B20="","",IFERROR(INDEX(Clienti!$B:$B,MATCH($B20,Clienti!$A:$A,0)),"Codice non trovato"))</f>
        <v/>
      </c>
      <c r="D20" s="23" t="n"/>
      <c r="E20" s="21" t="n"/>
      <c r="F20" s="24" t="n"/>
      <c r="G20" s="24" t="n"/>
    </row>
    <row r="21" ht="15.75" customHeight="1">
      <c r="A21" s="20" t="n"/>
      <c r="B21" s="21" t="n"/>
      <c r="C21" s="22">
        <f>IF($B21="","",IFERROR(INDEX(Clienti!$B:$B,MATCH($B21,Clienti!$A:$A,0)),"Codice non trovato"))</f>
        <v/>
      </c>
      <c r="D21" s="23" t="n"/>
      <c r="E21" s="21" t="n"/>
      <c r="F21" s="24" t="n"/>
      <c r="G21" s="24" t="n"/>
    </row>
    <row r="22" ht="15.75" customHeight="1">
      <c r="A22" s="20" t="n"/>
      <c r="B22" s="21" t="n"/>
      <c r="C22" s="22">
        <f>IF($B22="","",IFERROR(INDEX(Clienti!$B:$B,MATCH($B22,Clienti!$A:$A,0)),"Codice non trovato"))</f>
        <v/>
      </c>
      <c r="D22" s="23" t="n"/>
      <c r="E22" s="21" t="n"/>
      <c r="F22" s="24" t="n"/>
      <c r="G22" s="24" t="n"/>
    </row>
    <row r="23" ht="15.75" customHeight="1">
      <c r="A23" s="20" t="n"/>
      <c r="B23" s="21" t="n"/>
      <c r="C23" s="22">
        <f>IF($B23="","",IFERROR(INDEX(Clienti!$B:$B,MATCH($B23,Clienti!$A:$A,0)),"Codice non trovato"))</f>
        <v/>
      </c>
      <c r="D23" s="23" t="n"/>
      <c r="E23" s="21" t="n"/>
      <c r="F23" s="24" t="n"/>
      <c r="G23" s="24" t="n"/>
    </row>
    <row r="24" ht="15.75" customHeight="1">
      <c r="A24" s="20" t="n"/>
      <c r="B24" s="21" t="n"/>
      <c r="C24" s="22">
        <f>IF($B24="","",IFERROR(INDEX(Clienti!$B:$B,MATCH($B24,Clienti!$A:$A,0)),"Codice non trovato"))</f>
        <v/>
      </c>
      <c r="D24" s="23" t="n"/>
      <c r="E24" s="21" t="n"/>
      <c r="F24" s="24" t="n"/>
      <c r="G24" s="24" t="n"/>
    </row>
    <row r="25" ht="15.75" customHeight="1">
      <c r="A25" s="20" t="n"/>
      <c r="B25" s="21" t="n"/>
      <c r="C25" s="22">
        <f>IF($B25="","",IFERROR(INDEX(Clienti!$B:$B,MATCH($B25,Clienti!$A:$A,0)),"Codice non trovato"))</f>
        <v/>
      </c>
      <c r="D25" s="23" t="n"/>
      <c r="E25" s="21" t="n"/>
      <c r="F25" s="24" t="n"/>
      <c r="G25" s="24" t="n"/>
    </row>
    <row r="26" ht="15.75" customHeight="1">
      <c r="A26" s="20" t="n"/>
      <c r="B26" s="21" t="n"/>
      <c r="C26" s="22">
        <f>IF($B26="","",IFERROR(INDEX(Clienti!$B:$B,MATCH($B26,Clienti!$A:$A,0)),"Codice non trovato"))</f>
        <v/>
      </c>
      <c r="D26" s="23" t="n"/>
      <c r="E26" s="21" t="n"/>
      <c r="F26" s="24" t="n"/>
      <c r="G26" s="24" t="n"/>
    </row>
    <row r="27" ht="15.75" customHeight="1">
      <c r="A27" s="20" t="n"/>
      <c r="B27" s="21" t="n"/>
      <c r="C27" s="22">
        <f>IF($B27="","",IFERROR(INDEX(Clienti!$B:$B,MATCH($B27,Clienti!$A:$A,0)),"Codice non trovato"))</f>
        <v/>
      </c>
      <c r="D27" s="23" t="n"/>
      <c r="E27" s="21" t="n"/>
      <c r="F27" s="24" t="n"/>
      <c r="G27" s="24" t="n"/>
    </row>
    <row r="28" ht="15.75" customHeight="1">
      <c r="A28" s="20" t="n"/>
      <c r="B28" s="21" t="n"/>
      <c r="C28" s="22">
        <f>IF($B28="","",IFERROR(INDEX(Clienti!$B:$B,MATCH($B28,Clienti!$A:$A,0)),"Codice non trovato"))</f>
        <v/>
      </c>
      <c r="D28" s="23" t="n"/>
      <c r="E28" s="21" t="n"/>
      <c r="F28" s="24" t="n"/>
      <c r="G28" s="24" t="n"/>
    </row>
    <row r="29" ht="15.75" customHeight="1">
      <c r="A29" s="20" t="n"/>
      <c r="B29" s="21" t="n"/>
      <c r="C29" s="22">
        <f>IF($B29="","",IFERROR(INDEX(Clienti!$B:$B,MATCH($B29,Clienti!$A:$A,0)),"Codice non trovato"))</f>
        <v/>
      </c>
      <c r="D29" s="23" t="n"/>
      <c r="E29" s="21" t="n"/>
      <c r="F29" s="24" t="n"/>
      <c r="G29" s="24" t="n"/>
    </row>
    <row r="30" ht="15.75" customHeight="1">
      <c r="A30" s="20" t="n"/>
      <c r="B30" s="21" t="n"/>
      <c r="C30" s="22">
        <f>IF($B30="","",IFERROR(INDEX(Clienti!$B:$B,MATCH($B30,Clienti!$A:$A,0)),"Codice non trovato"))</f>
        <v/>
      </c>
      <c r="D30" s="23" t="n"/>
      <c r="E30" s="21" t="n"/>
      <c r="F30" s="24" t="n"/>
      <c r="G30" s="24" t="n"/>
    </row>
    <row r="31" ht="15.75" customHeight="1">
      <c r="A31" s="20" t="n"/>
      <c r="B31" s="21" t="n"/>
      <c r="C31" s="22">
        <f>IF($B31="","",IFERROR(INDEX(Clienti!$B:$B,MATCH($B31,Clienti!$A:$A,0)),"Codice non trovato"))</f>
        <v/>
      </c>
      <c r="D31" s="23" t="n"/>
      <c r="E31" s="21" t="n"/>
      <c r="F31" s="24" t="n"/>
      <c r="G31" s="24" t="n"/>
    </row>
    <row r="32" ht="15.75" customHeight="1">
      <c r="A32" s="20" t="n"/>
      <c r="B32" s="21" t="n"/>
      <c r="C32" s="22">
        <f>IF($B32="","",IFERROR(INDEX(Clienti!$B:$B,MATCH($B32,Clienti!$A:$A,0)),"Codice non trovato"))</f>
        <v/>
      </c>
      <c r="D32" s="23" t="n"/>
      <c r="E32" s="21" t="n"/>
      <c r="F32" s="24" t="n"/>
      <c r="G32" s="24" t="n"/>
    </row>
    <row r="33" ht="15.75" customHeight="1">
      <c r="A33" s="20" t="n"/>
      <c r="B33" s="21" t="n"/>
      <c r="C33" s="22">
        <f>IF($B33="","",IFERROR(INDEX(Clienti!$B:$B,MATCH($B33,Clienti!$A:$A,0)),"Codice non trovato"))</f>
        <v/>
      </c>
      <c r="D33" s="23" t="n"/>
      <c r="E33" s="21" t="n"/>
      <c r="F33" s="24" t="n"/>
      <c r="G33" s="24" t="n"/>
    </row>
    <row r="34" ht="15.75" customHeight="1">
      <c r="A34" s="20" t="n"/>
      <c r="B34" s="21" t="n"/>
      <c r="C34" s="22">
        <f>IF($B34="","",IFERROR(INDEX(Clienti!$B:$B,MATCH($B34,Clienti!$A:$A,0)),"Codice non trovato"))</f>
        <v/>
      </c>
      <c r="D34" s="23" t="n"/>
      <c r="E34" s="21" t="n"/>
      <c r="F34" s="24" t="n"/>
      <c r="G34" s="24" t="n"/>
    </row>
    <row r="35" ht="15.75" customHeight="1">
      <c r="A35" s="20" t="n"/>
      <c r="B35" s="21" t="n"/>
      <c r="C35" s="22">
        <f>IF($B35="","",IFERROR(INDEX(Clienti!$B:$B,MATCH($B35,Clienti!$A:$A,0)),"Codice non trovato"))</f>
        <v/>
      </c>
      <c r="D35" s="23" t="n"/>
      <c r="E35" s="21" t="n"/>
      <c r="F35" s="24" t="n"/>
      <c r="G35" s="24" t="n"/>
    </row>
    <row r="36" ht="15.75" customHeight="1">
      <c r="A36" s="20" t="n"/>
      <c r="B36" s="21" t="n"/>
      <c r="C36" s="22">
        <f>IF($B36="","",IFERROR(INDEX(Clienti!$B:$B,MATCH($B36,Clienti!$A:$A,0)),"Codice non trovato"))</f>
        <v/>
      </c>
      <c r="D36" s="23" t="n"/>
      <c r="E36" s="21" t="n"/>
      <c r="F36" s="24" t="n"/>
      <c r="G36" s="24" t="n"/>
    </row>
    <row r="37" ht="15.75" customHeight="1">
      <c r="A37" s="20" t="n"/>
      <c r="B37" s="21" t="n"/>
      <c r="C37" s="22">
        <f>IF($B37="","",IFERROR(INDEX(Clienti!$B:$B,MATCH($B37,Clienti!$A:$A,0)),"Codice non trovato"))</f>
        <v/>
      </c>
      <c r="D37" s="23" t="n"/>
      <c r="E37" s="21" t="n"/>
      <c r="F37" s="24" t="n"/>
      <c r="G37" s="24" t="n"/>
    </row>
    <row r="38" ht="15.75" customHeight="1">
      <c r="A38" s="20" t="n"/>
      <c r="B38" s="21" t="n"/>
      <c r="C38" s="22">
        <f>IF($B38="","",IFERROR(INDEX(Clienti!$B:$B,MATCH($B38,Clienti!$A:$A,0)),"Codice non trovato"))</f>
        <v/>
      </c>
      <c r="D38" s="23" t="n"/>
      <c r="E38" s="21" t="n"/>
      <c r="F38" s="24" t="n"/>
      <c r="G38" s="24" t="n"/>
    </row>
    <row r="39" ht="15.75" customHeight="1">
      <c r="A39" s="20" t="n"/>
      <c r="B39" s="21" t="n"/>
      <c r="C39" s="22">
        <f>IF($B39="","",IFERROR(INDEX(Clienti!$B:$B,MATCH($B39,Clienti!$A:$A,0)),"Codice non trovato"))</f>
        <v/>
      </c>
      <c r="D39" s="23" t="n"/>
      <c r="E39" s="21" t="n"/>
      <c r="F39" s="24" t="n"/>
      <c r="G39" s="24" t="n"/>
    </row>
    <row r="40" ht="15.75" customHeight="1">
      <c r="A40" s="20" t="n"/>
      <c r="B40" s="21" t="n"/>
      <c r="C40" s="22">
        <f>IF($B40="","",IFERROR(INDEX(Clienti!$B:$B,MATCH($B40,Clienti!$A:$A,0)),"Codice non trovato"))</f>
        <v/>
      </c>
      <c r="D40" s="23" t="n"/>
      <c r="E40" s="21" t="n"/>
      <c r="F40" s="24" t="n"/>
      <c r="G40" s="24" t="n"/>
    </row>
    <row r="41" ht="15.75" customHeight="1">
      <c r="A41" s="20" t="n"/>
      <c r="B41" s="21" t="n"/>
      <c r="C41" s="22">
        <f>IF($B41="","",IFERROR(INDEX(Clienti!$B:$B,MATCH($B41,Clienti!$A:$A,0)),"Codice non trovato"))</f>
        <v/>
      </c>
      <c r="D41" s="23" t="n"/>
      <c r="E41" s="21" t="n"/>
      <c r="F41" s="24" t="n"/>
      <c r="G41" s="24" t="n"/>
    </row>
    <row r="42" ht="15.75" customHeight="1">
      <c r="A42" s="20" t="n"/>
      <c r="B42" s="21" t="n"/>
      <c r="C42" s="22">
        <f>IF($B42="","",IFERROR(INDEX(Clienti!$B:$B,MATCH($B42,Clienti!$A:$A,0)),"Codice non trovato"))</f>
        <v/>
      </c>
      <c r="D42" s="23" t="n"/>
      <c r="E42" s="21" t="n"/>
      <c r="F42" s="24" t="n"/>
      <c r="G42" s="24" t="n"/>
    </row>
    <row r="43" ht="15.75" customHeight="1">
      <c r="A43" s="20" t="n"/>
      <c r="B43" s="21" t="n"/>
      <c r="C43" s="22">
        <f>IF($B43="","",IFERROR(INDEX(Clienti!$B:$B,MATCH($B43,Clienti!$A:$A,0)),"Codice non trovato"))</f>
        <v/>
      </c>
      <c r="D43" s="23" t="n"/>
      <c r="E43" s="21" t="n"/>
      <c r="F43" s="24" t="n"/>
      <c r="G43" s="24" t="n"/>
    </row>
    <row r="44" ht="15.75" customHeight="1">
      <c r="A44" s="20" t="n"/>
      <c r="B44" s="21" t="n"/>
      <c r="C44" s="22">
        <f>IF($B44="","",IFERROR(INDEX(Clienti!$B:$B,MATCH($B44,Clienti!$A:$A,0)),"Codice non trovato"))</f>
        <v/>
      </c>
      <c r="D44" s="23" t="n"/>
      <c r="E44" s="21" t="n"/>
      <c r="F44" s="24" t="n"/>
      <c r="G44" s="24" t="n"/>
    </row>
    <row r="45" ht="15.75" customHeight="1">
      <c r="A45" s="20" t="n"/>
      <c r="B45" s="21" t="n"/>
      <c r="C45" s="22">
        <f>IF($B45="","",IFERROR(INDEX(Clienti!$B:$B,MATCH($B45,Clienti!$A:$A,0)),"Codice non trovato"))</f>
        <v/>
      </c>
      <c r="D45" s="23" t="n"/>
      <c r="E45" s="21" t="n"/>
      <c r="F45" s="24" t="n"/>
      <c r="G45" s="24" t="n"/>
    </row>
    <row r="46" ht="15.75" customHeight="1">
      <c r="A46" s="20" t="n"/>
      <c r="B46" s="21" t="n"/>
      <c r="C46" s="22">
        <f>IF($B46="","",IFERROR(INDEX(Clienti!$B:$B,MATCH($B46,Clienti!$A:$A,0)),"Codice non trovato"))</f>
        <v/>
      </c>
      <c r="D46" s="23" t="n"/>
      <c r="E46" s="21" t="n"/>
      <c r="F46" s="24" t="n"/>
      <c r="G46" s="24" t="n"/>
    </row>
    <row r="47" ht="15.75" customHeight="1">
      <c r="A47" s="20" t="n"/>
      <c r="B47" s="21" t="n"/>
      <c r="C47" s="22">
        <f>IF($B47="","",IFERROR(INDEX(Clienti!$B:$B,MATCH($B47,Clienti!$A:$A,0)),"Codice non trovato"))</f>
        <v/>
      </c>
      <c r="D47" s="23" t="n"/>
      <c r="E47" s="21" t="n"/>
      <c r="F47" s="24" t="n"/>
      <c r="G47" s="24" t="n"/>
    </row>
    <row r="48" ht="15.75" customHeight="1">
      <c r="A48" s="20" t="n"/>
      <c r="B48" s="21" t="n"/>
      <c r="C48" s="22">
        <f>IF($B48="","",IFERROR(INDEX(Clienti!$B:$B,MATCH($B48,Clienti!$A:$A,0)),"Codice non trovato"))</f>
        <v/>
      </c>
      <c r="D48" s="23" t="n"/>
      <c r="E48" s="21" t="n"/>
      <c r="F48" s="24" t="n"/>
      <c r="G48" s="24" t="n"/>
    </row>
    <row r="49" ht="15.75" customHeight="1">
      <c r="A49" s="20" t="n"/>
      <c r="B49" s="21" t="n"/>
      <c r="C49" s="22">
        <f>IF($B49="","",IFERROR(INDEX(Clienti!$B:$B,MATCH($B49,Clienti!$A:$A,0)),"Codice non trovato"))</f>
        <v/>
      </c>
      <c r="D49" s="23" t="n"/>
      <c r="E49" s="21" t="n"/>
      <c r="F49" s="24" t="n"/>
      <c r="G49" s="24" t="n"/>
    </row>
    <row r="50" ht="15.75" customHeight="1">
      <c r="A50" s="20" t="n"/>
      <c r="B50" s="21" t="n"/>
      <c r="C50" s="22">
        <f>IF($B50="","",IFERROR(INDEX(Clienti!$B:$B,MATCH($B50,Clienti!$A:$A,0)),"Codice non trovato"))</f>
        <v/>
      </c>
      <c r="D50" s="23" t="n"/>
      <c r="E50" s="21" t="n"/>
      <c r="F50" s="24" t="n"/>
      <c r="G50" s="24" t="n"/>
    </row>
    <row r="51" ht="15.75" customHeight="1">
      <c r="A51" s="20" t="n"/>
      <c r="B51" s="21" t="n"/>
      <c r="C51" s="22">
        <f>IF($B51="","",IFERROR(INDEX(Clienti!$B:$B,MATCH($B51,Clienti!$A:$A,0)),"Codice non trovato"))</f>
        <v/>
      </c>
      <c r="D51" s="23" t="n"/>
      <c r="E51" s="21" t="n"/>
      <c r="F51" s="24" t="n"/>
      <c r="G51" s="24" t="n"/>
    </row>
    <row r="52" ht="15.75" customHeight="1">
      <c r="A52" s="20" t="n"/>
      <c r="B52" s="21" t="n"/>
      <c r="C52" s="22">
        <f>IF($B52="","",IFERROR(INDEX(Clienti!$B:$B,MATCH($B52,Clienti!$A:$A,0)),"Codice non trovato"))</f>
        <v/>
      </c>
      <c r="D52" s="23" t="n"/>
      <c r="E52" s="21" t="n"/>
      <c r="F52" s="24" t="n"/>
      <c r="G52" s="24" t="n"/>
    </row>
    <row r="53" ht="15.75" customHeight="1">
      <c r="A53" s="20" t="n"/>
      <c r="B53" s="21" t="n"/>
      <c r="C53" s="22">
        <f>IF($B53="","",IFERROR(INDEX(Clienti!$B:$B,MATCH($B53,Clienti!$A:$A,0)),"Codice non trovato"))</f>
        <v/>
      </c>
      <c r="D53" s="23" t="n"/>
      <c r="E53" s="21" t="n"/>
      <c r="F53" s="24" t="n"/>
      <c r="G53" s="24" t="n"/>
    </row>
    <row r="54" ht="15.75" customHeight="1">
      <c r="A54" s="20" t="n"/>
      <c r="B54" s="21" t="n"/>
      <c r="C54" s="22">
        <f>IF($B54="","",IFERROR(INDEX(Clienti!$B:$B,MATCH($B54,Clienti!$A:$A,0)),"Codice non trovato"))</f>
        <v/>
      </c>
      <c r="D54" s="23" t="n"/>
      <c r="E54" s="21" t="n"/>
      <c r="F54" s="24" t="n"/>
      <c r="G54" s="24" t="n"/>
    </row>
    <row r="55" ht="15.75" customHeight="1">
      <c r="A55" s="20" t="n"/>
      <c r="B55" s="21" t="n"/>
      <c r="C55" s="22">
        <f>IF($B55="","",IFERROR(INDEX(Clienti!$B:$B,MATCH($B55,Clienti!$A:$A,0)),"Codice non trovato"))</f>
        <v/>
      </c>
      <c r="D55" s="23" t="n"/>
      <c r="E55" s="21" t="n"/>
      <c r="F55" s="24" t="n"/>
      <c r="G55" s="24" t="n"/>
    </row>
    <row r="56" ht="15.75" customHeight="1">
      <c r="A56" s="20" t="n"/>
      <c r="B56" s="21" t="n"/>
      <c r="C56" s="22">
        <f>IF($B56="","",IFERROR(INDEX(Clienti!$B:$B,MATCH($B56,Clienti!$A:$A,0)),"Codice non trovato"))</f>
        <v/>
      </c>
      <c r="D56" s="23" t="n"/>
      <c r="E56" s="21" t="n"/>
      <c r="F56" s="24" t="n"/>
      <c r="G56" s="24" t="n"/>
    </row>
    <row r="57" ht="15.75" customHeight="1">
      <c r="A57" s="20" t="n"/>
      <c r="B57" s="21" t="n"/>
      <c r="C57" s="22">
        <f>IF($B57="","",IFERROR(INDEX(Clienti!$B:$B,MATCH($B57,Clienti!$A:$A,0)),"Codice non trovato"))</f>
        <v/>
      </c>
      <c r="D57" s="23" t="n"/>
      <c r="E57" s="21" t="n"/>
      <c r="F57" s="24" t="n"/>
      <c r="G57" s="24" t="n"/>
    </row>
    <row r="58" ht="15.75" customHeight="1">
      <c r="A58" s="20" t="n"/>
      <c r="B58" s="21" t="n"/>
      <c r="C58" s="22">
        <f>IF($B58="","",IFERROR(INDEX(Clienti!$B:$B,MATCH($B58,Clienti!$A:$A,0)),"Codice non trovato"))</f>
        <v/>
      </c>
      <c r="D58" s="23" t="n"/>
      <c r="E58" s="21" t="n"/>
      <c r="F58" s="24" t="n"/>
      <c r="G58" s="24" t="n"/>
    </row>
    <row r="59" ht="15.75" customHeight="1">
      <c r="A59" s="20" t="n"/>
      <c r="B59" s="21" t="n"/>
      <c r="C59" s="22">
        <f>IF($B59="","",IFERROR(INDEX(Clienti!$B:$B,MATCH($B59,Clienti!$A:$A,0)),"Codice non trovato"))</f>
        <v/>
      </c>
      <c r="D59" s="23" t="n"/>
      <c r="E59" s="21" t="n"/>
      <c r="F59" s="24" t="n"/>
      <c r="G59" s="24" t="n"/>
    </row>
    <row r="60" ht="15.75" customHeight="1">
      <c r="A60" s="20" t="n"/>
      <c r="B60" s="21" t="n"/>
      <c r="C60" s="22">
        <f>IF($B60="","",IFERROR(INDEX(Clienti!$B:$B,MATCH($B60,Clienti!$A:$A,0)),"Codice non trovato"))</f>
        <v/>
      </c>
      <c r="D60" s="23" t="n"/>
      <c r="E60" s="21" t="n"/>
      <c r="F60" s="24" t="n"/>
      <c r="G60" s="24" t="n"/>
    </row>
    <row r="61" ht="15.75" customHeight="1">
      <c r="A61" s="20" t="n"/>
      <c r="B61" s="21" t="n"/>
      <c r="C61" s="22">
        <f>IF($B61="","",IFERROR(INDEX(Clienti!$B:$B,MATCH($B61,Clienti!$A:$A,0)),"Codice non trovato"))</f>
        <v/>
      </c>
      <c r="D61" s="23" t="n"/>
      <c r="E61" s="21" t="n"/>
      <c r="F61" s="24" t="n"/>
      <c r="G61" s="24" t="n"/>
    </row>
    <row r="62" ht="15.75" customHeight="1">
      <c r="A62" s="20" t="n"/>
      <c r="B62" s="21" t="n"/>
      <c r="C62" s="22">
        <f>IF($B62="","",IFERROR(INDEX(Clienti!$B:$B,MATCH($B62,Clienti!$A:$A,0)),"Codice non trovato"))</f>
        <v/>
      </c>
      <c r="D62" s="23" t="n"/>
      <c r="E62" s="21" t="n"/>
      <c r="F62" s="24" t="n"/>
      <c r="G62" s="24" t="n"/>
    </row>
    <row r="63" ht="15.75" customHeight="1">
      <c r="A63" s="20" t="n"/>
      <c r="B63" s="21" t="n"/>
      <c r="C63" s="22">
        <f>IF($B63="","",IFERROR(INDEX(Clienti!$B:$B,MATCH($B63,Clienti!$A:$A,0)),"Codice non trovato"))</f>
        <v/>
      </c>
      <c r="D63" s="23" t="n"/>
      <c r="E63" s="21" t="n"/>
      <c r="F63" s="24" t="n"/>
      <c r="G63" s="24" t="n"/>
    </row>
    <row r="64" ht="15.75" customHeight="1">
      <c r="A64" s="20" t="n"/>
      <c r="B64" s="21" t="n"/>
      <c r="C64" s="22">
        <f>IF($B64="","",IFERROR(INDEX(Clienti!$B:$B,MATCH($B64,Clienti!$A:$A,0)),"Codice non trovato"))</f>
        <v/>
      </c>
      <c r="D64" s="23" t="n"/>
      <c r="E64" s="21" t="n"/>
      <c r="F64" s="24" t="n"/>
      <c r="G64" s="24" t="n"/>
    </row>
    <row r="65" ht="15.75" customHeight="1">
      <c r="A65" s="20" t="n"/>
      <c r="B65" s="21" t="n"/>
      <c r="C65" s="22">
        <f>IF($B65="","",IFERROR(INDEX(Clienti!$B:$B,MATCH($B65,Clienti!$A:$A,0)),"Codice non trovato"))</f>
        <v/>
      </c>
      <c r="D65" s="23" t="n"/>
      <c r="E65" s="21" t="n"/>
      <c r="F65" s="24" t="n"/>
      <c r="G65" s="24" t="n"/>
    </row>
    <row r="66" ht="15.75" customHeight="1">
      <c r="A66" s="20" t="n"/>
      <c r="B66" s="21" t="n"/>
      <c r="C66" s="22">
        <f>IF($B66="","",IFERROR(INDEX(Clienti!$B:$B,MATCH($B66,Clienti!$A:$A,0)),"Codice non trovato"))</f>
        <v/>
      </c>
      <c r="D66" s="23" t="n"/>
      <c r="E66" s="21" t="n"/>
      <c r="F66" s="24" t="n"/>
      <c r="G66" s="24" t="n"/>
    </row>
    <row r="67" ht="15.75" customHeight="1">
      <c r="A67" s="20" t="n"/>
      <c r="B67" s="21" t="n"/>
      <c r="C67" s="22">
        <f>IF($B67="","",IFERROR(INDEX(Clienti!$B:$B,MATCH($B67,Clienti!$A:$A,0)),"Codice non trovato"))</f>
        <v/>
      </c>
      <c r="D67" s="23" t="n"/>
      <c r="E67" s="21" t="n"/>
      <c r="F67" s="24" t="n"/>
      <c r="G67" s="24" t="n"/>
    </row>
    <row r="68" ht="15.75" customHeight="1">
      <c r="A68" s="20" t="n"/>
      <c r="B68" s="21" t="n"/>
      <c r="C68" s="22">
        <f>IF($B68="","",IFERROR(INDEX(Clienti!$B:$B,MATCH($B68,Clienti!$A:$A,0)),"Codice non trovato"))</f>
        <v/>
      </c>
      <c r="D68" s="23" t="n"/>
      <c r="E68" s="21" t="n"/>
      <c r="F68" s="24" t="n"/>
      <c r="G68" s="24" t="n"/>
    </row>
    <row r="69" ht="15.75" customHeight="1">
      <c r="A69" s="20" t="n"/>
      <c r="B69" s="21" t="n"/>
      <c r="C69" s="22">
        <f>IF($B69="","",IFERROR(INDEX(Clienti!$B:$B,MATCH($B69,Clienti!$A:$A,0)),"Codice non trovato"))</f>
        <v/>
      </c>
      <c r="D69" s="23" t="n"/>
      <c r="E69" s="21" t="n"/>
      <c r="F69" s="24" t="n"/>
      <c r="G69" s="24" t="n"/>
    </row>
    <row r="70" ht="15.75" customHeight="1">
      <c r="A70" s="20" t="n"/>
      <c r="B70" s="21" t="n"/>
      <c r="C70" s="22">
        <f>IF($B70="","",IFERROR(INDEX(Clienti!$B:$B,MATCH($B70,Clienti!$A:$A,0)),"Codice non trovato"))</f>
        <v/>
      </c>
      <c r="D70" s="23" t="n"/>
      <c r="E70" s="21" t="n"/>
      <c r="F70" s="24" t="n"/>
      <c r="G70" s="24" t="n"/>
    </row>
    <row r="71" ht="15.75" customHeight="1">
      <c r="A71" s="20" t="n"/>
      <c r="B71" s="21" t="n"/>
      <c r="C71" s="22">
        <f>IF($B71="","",IFERROR(INDEX(Clienti!$B:$B,MATCH($B71,Clienti!$A:$A,0)),"Codice non trovato"))</f>
        <v/>
      </c>
      <c r="D71" s="23" t="n"/>
      <c r="E71" s="21" t="n"/>
      <c r="F71" s="24" t="n"/>
      <c r="G71" s="24" t="n"/>
    </row>
    <row r="72" ht="15.75" customHeight="1">
      <c r="A72" s="20" t="n"/>
      <c r="B72" s="21" t="n"/>
      <c r="C72" s="22">
        <f>IF($B72="","",IFERROR(INDEX(Clienti!$B:$B,MATCH($B72,Clienti!$A:$A,0)),"Codice non trovato"))</f>
        <v/>
      </c>
      <c r="D72" s="23" t="n"/>
      <c r="E72" s="21" t="n"/>
      <c r="F72" s="24" t="n"/>
      <c r="G72" s="24" t="n"/>
    </row>
    <row r="73" ht="15.75" customHeight="1">
      <c r="A73" s="20" t="n"/>
      <c r="B73" s="21" t="n"/>
      <c r="C73" s="22">
        <f>IF($B73="","",IFERROR(INDEX(Clienti!$B:$B,MATCH($B73,Clienti!$A:$A,0)),"Codice non trovato"))</f>
        <v/>
      </c>
      <c r="D73" s="23" t="n"/>
      <c r="E73" s="21" t="n"/>
      <c r="F73" s="24" t="n"/>
      <c r="G73" s="24" t="n"/>
    </row>
    <row r="74" ht="15.75" customHeight="1">
      <c r="A74" s="20" t="n"/>
      <c r="B74" s="21" t="n"/>
      <c r="C74" s="22">
        <f>IF($B74="","",IFERROR(INDEX(Clienti!$B:$B,MATCH($B74,Clienti!$A:$A,0)),"Codice non trovato"))</f>
        <v/>
      </c>
      <c r="D74" s="23" t="n"/>
      <c r="E74" s="21" t="n"/>
      <c r="F74" s="24" t="n"/>
      <c r="G74" s="24" t="n"/>
    </row>
    <row r="75" ht="15.75" customHeight="1">
      <c r="A75" s="20" t="n"/>
      <c r="B75" s="21" t="n"/>
      <c r="C75" s="22">
        <f>IF($B75="","",IFERROR(INDEX(Clienti!$B:$B,MATCH($B75,Clienti!$A:$A,0)),"Codice non trovato"))</f>
        <v/>
      </c>
      <c r="D75" s="23" t="n"/>
      <c r="E75" s="21" t="n"/>
      <c r="F75" s="24" t="n"/>
      <c r="G75" s="24" t="n"/>
    </row>
    <row r="76" ht="15.75" customHeight="1">
      <c r="A76" s="20" t="n"/>
      <c r="B76" s="21" t="n"/>
      <c r="C76" s="22">
        <f>IF($B76="","",IFERROR(INDEX(Clienti!$B:$B,MATCH($B76,Clienti!$A:$A,0)),"Codice non trovato"))</f>
        <v/>
      </c>
      <c r="D76" s="23" t="n"/>
      <c r="E76" s="21" t="n"/>
      <c r="F76" s="24" t="n"/>
      <c r="G76" s="24" t="n"/>
    </row>
    <row r="77" ht="15.75" customHeight="1">
      <c r="A77" s="20" t="n"/>
      <c r="B77" s="21" t="n"/>
      <c r="C77" s="22">
        <f>IF($B77="","",IFERROR(INDEX(Clienti!$B:$B,MATCH($B77,Clienti!$A:$A,0)),"Codice non trovato"))</f>
        <v/>
      </c>
      <c r="D77" s="23" t="n"/>
      <c r="E77" s="21" t="n"/>
      <c r="F77" s="24" t="n"/>
      <c r="G77" s="24" t="n"/>
    </row>
    <row r="78" ht="15.75" customHeight="1">
      <c r="A78" s="20" t="n"/>
      <c r="B78" s="21" t="n"/>
      <c r="C78" s="22">
        <f>IF($B78="","",IFERROR(INDEX(Clienti!$B:$B,MATCH($B78,Clienti!$A:$A,0)),"Codice non trovato"))</f>
        <v/>
      </c>
      <c r="D78" s="23" t="n"/>
      <c r="E78" s="21" t="n"/>
      <c r="F78" s="24" t="n"/>
      <c r="G78" s="24" t="n"/>
    </row>
    <row r="79" ht="15.75" customHeight="1">
      <c r="A79" s="20" t="n"/>
      <c r="B79" s="21" t="n"/>
      <c r="C79" s="22">
        <f>IF($B79="","",IFERROR(INDEX(Clienti!$B:$B,MATCH($B79,Clienti!$A:$A,0)),"Codice non trovato"))</f>
        <v/>
      </c>
      <c r="D79" s="23" t="n"/>
      <c r="E79" s="21" t="n"/>
      <c r="F79" s="24" t="n"/>
      <c r="G79" s="24" t="n"/>
    </row>
    <row r="80" ht="15.75" customHeight="1">
      <c r="A80" s="20" t="n"/>
      <c r="B80" s="21" t="n"/>
      <c r="C80" s="22">
        <f>IF($B80="","",IFERROR(INDEX(Clienti!$B:$B,MATCH($B80,Clienti!$A:$A,0)),"Codice non trovato"))</f>
        <v/>
      </c>
      <c r="D80" s="23" t="n"/>
      <c r="E80" s="21" t="n"/>
      <c r="F80" s="24" t="n"/>
      <c r="G80" s="24" t="n"/>
    </row>
    <row r="81" ht="15.75" customHeight="1">
      <c r="A81" s="20" t="n"/>
      <c r="B81" s="21" t="n"/>
      <c r="C81" s="22">
        <f>IF($B81="","",IFERROR(INDEX(Clienti!$B:$B,MATCH($B81,Clienti!$A:$A,0)),"Codice non trovato"))</f>
        <v/>
      </c>
      <c r="D81" s="23" t="n"/>
      <c r="E81" s="21" t="n"/>
      <c r="F81" s="24" t="n"/>
      <c r="G81" s="24" t="n"/>
    </row>
    <row r="82" ht="15.75" customHeight="1">
      <c r="A82" s="20" t="n"/>
      <c r="B82" s="21" t="n"/>
      <c r="C82" s="22">
        <f>IF($B82="","",IFERROR(INDEX(Clienti!$B:$B,MATCH($B82,Clienti!$A:$A,0)),"Codice non trovato"))</f>
        <v/>
      </c>
      <c r="D82" s="23" t="n"/>
      <c r="E82" s="21" t="n"/>
      <c r="F82" s="24" t="n"/>
      <c r="G82" s="24" t="n"/>
    </row>
    <row r="83" ht="15.75" customHeight="1">
      <c r="A83" s="20" t="n"/>
      <c r="B83" s="21" t="n"/>
      <c r="C83" s="22">
        <f>IF($B83="","",IFERROR(INDEX(Clienti!$B:$B,MATCH($B83,Clienti!$A:$A,0)),"Codice non trovato"))</f>
        <v/>
      </c>
      <c r="D83" s="23" t="n"/>
      <c r="E83" s="21" t="n"/>
      <c r="F83" s="24" t="n"/>
      <c r="G83" s="24" t="n"/>
    </row>
    <row r="84" ht="15.75" customHeight="1">
      <c r="A84" s="20" t="n"/>
      <c r="B84" s="21" t="n"/>
      <c r="C84" s="22">
        <f>IF($B84="","",IFERROR(INDEX(Clienti!$B:$B,MATCH($B84,Clienti!$A:$A,0)),"Codice non trovato"))</f>
        <v/>
      </c>
      <c r="D84" s="23" t="n"/>
      <c r="E84" s="21" t="n"/>
      <c r="F84" s="24" t="n"/>
      <c r="G84" s="24" t="n"/>
    </row>
    <row r="85" ht="15.75" customHeight="1">
      <c r="A85" s="20" t="n"/>
      <c r="B85" s="21" t="n"/>
      <c r="C85" s="22">
        <f>IF($B85="","",IFERROR(INDEX(Clienti!$B:$B,MATCH($B85,Clienti!$A:$A,0)),"Codice non trovato"))</f>
        <v/>
      </c>
      <c r="D85" s="23" t="n"/>
      <c r="E85" s="21" t="n"/>
      <c r="F85" s="24" t="n"/>
      <c r="G85" s="24" t="n"/>
    </row>
    <row r="86" ht="15.75" customHeight="1">
      <c r="A86" s="20" t="n"/>
      <c r="B86" s="21" t="n"/>
      <c r="C86" s="22">
        <f>IF($B86="","",IFERROR(INDEX(Clienti!$B:$B,MATCH($B86,Clienti!$A:$A,0)),"Codice non trovato"))</f>
        <v/>
      </c>
      <c r="D86" s="23" t="n"/>
      <c r="E86" s="21" t="n"/>
      <c r="F86" s="24" t="n"/>
      <c r="G86" s="24" t="n"/>
    </row>
    <row r="87" ht="15.75" customHeight="1">
      <c r="A87" s="20" t="n"/>
      <c r="B87" s="21" t="n"/>
      <c r="C87" s="22">
        <f>IF($B87="","",IFERROR(INDEX(Clienti!$B:$B,MATCH($B87,Clienti!$A:$A,0)),"Codice non trovato"))</f>
        <v/>
      </c>
      <c r="D87" s="23" t="n"/>
      <c r="E87" s="21" t="n"/>
      <c r="F87" s="24" t="n"/>
      <c r="G87" s="24" t="n"/>
    </row>
    <row r="88" ht="15.75" customHeight="1">
      <c r="A88" s="20" t="n"/>
      <c r="B88" s="21" t="n"/>
      <c r="C88" s="22">
        <f>IF($B88="","",IFERROR(INDEX(Clienti!$B:$B,MATCH($B88,Clienti!$A:$A,0)),"Codice non trovato"))</f>
        <v/>
      </c>
      <c r="D88" s="23" t="n"/>
      <c r="E88" s="21" t="n"/>
      <c r="F88" s="24" t="n"/>
      <c r="G88" s="24" t="n"/>
    </row>
    <row r="89" ht="15.75" customHeight="1">
      <c r="A89" s="20" t="n"/>
      <c r="B89" s="21" t="n"/>
      <c r="C89" s="22">
        <f>IF($B89="","",IFERROR(INDEX(Clienti!$B:$B,MATCH($B89,Clienti!$A:$A,0)),"Codice non trovato"))</f>
        <v/>
      </c>
      <c r="D89" s="23" t="n"/>
      <c r="E89" s="21" t="n"/>
      <c r="F89" s="24" t="n"/>
      <c r="G89" s="24" t="n"/>
    </row>
    <row r="90" ht="15.75" customHeight="1">
      <c r="A90" s="20" t="n"/>
      <c r="B90" s="21" t="n"/>
      <c r="C90" s="22">
        <f>IF($B90="","",IFERROR(INDEX(Clienti!$B:$B,MATCH($B90,Clienti!$A:$A,0)),"Codice non trovato"))</f>
        <v/>
      </c>
      <c r="D90" s="23" t="n"/>
      <c r="E90" s="21" t="n"/>
      <c r="F90" s="24" t="n"/>
      <c r="G90" s="24" t="n"/>
    </row>
    <row r="91" ht="15.75" customHeight="1">
      <c r="A91" s="20" t="n"/>
      <c r="B91" s="21" t="n"/>
      <c r="C91" s="22">
        <f>IF($B91="","",IFERROR(INDEX(Clienti!$B:$B,MATCH($B91,Clienti!$A:$A,0)),"Codice non trovato"))</f>
        <v/>
      </c>
      <c r="D91" s="23" t="n"/>
      <c r="E91" s="21" t="n"/>
      <c r="F91" s="24" t="n"/>
      <c r="G91" s="24" t="n"/>
    </row>
    <row r="92" ht="15.75" customHeight="1">
      <c r="A92" s="20" t="n"/>
      <c r="B92" s="21" t="n"/>
      <c r="C92" s="22">
        <f>IF($B92="","",IFERROR(INDEX(Clienti!$B:$B,MATCH($B92,Clienti!$A:$A,0)),"Codice non trovato"))</f>
        <v/>
      </c>
      <c r="D92" s="23" t="n"/>
      <c r="E92" s="21" t="n"/>
      <c r="F92" s="24" t="n"/>
      <c r="G92" s="24" t="n"/>
    </row>
    <row r="93" ht="15.75" customHeight="1">
      <c r="A93" s="20" t="n"/>
      <c r="B93" s="21" t="n"/>
      <c r="C93" s="22">
        <f>IF($B93="","",IFERROR(INDEX(Clienti!$B:$B,MATCH($B93,Clienti!$A:$A,0)),"Codice non trovato"))</f>
        <v/>
      </c>
      <c r="D93" s="23" t="n"/>
      <c r="E93" s="21" t="n"/>
      <c r="F93" s="24" t="n"/>
      <c r="G93" s="24" t="n"/>
    </row>
    <row r="94" ht="15.75" customHeight="1">
      <c r="A94" s="20" t="n"/>
      <c r="B94" s="21" t="n"/>
      <c r="C94" s="22">
        <f>IF($B94="","",IFERROR(INDEX(Clienti!$B:$B,MATCH($B94,Clienti!$A:$A,0)),"Codice non trovato"))</f>
        <v/>
      </c>
      <c r="D94" s="23" t="n"/>
      <c r="E94" s="21" t="n"/>
      <c r="F94" s="24" t="n"/>
      <c r="G94" s="24" t="n"/>
    </row>
    <row r="95" ht="15.75" customHeight="1">
      <c r="A95" s="20" t="n"/>
      <c r="B95" s="21" t="n"/>
      <c r="C95" s="22">
        <f>IF($B95="","",IFERROR(INDEX(Clienti!$B:$B,MATCH($B95,Clienti!$A:$A,0)),"Codice non trovato"))</f>
        <v/>
      </c>
      <c r="D95" s="23" t="n"/>
      <c r="E95" s="21" t="n"/>
      <c r="F95" s="24" t="n"/>
      <c r="G95" s="24" t="n"/>
    </row>
    <row r="96" ht="15.75" customHeight="1">
      <c r="A96" s="20" t="n"/>
      <c r="B96" s="21" t="n"/>
      <c r="C96" s="22">
        <f>IF($B96="","",IFERROR(INDEX(Clienti!$B:$B,MATCH($B96,Clienti!$A:$A,0)),"Codice non trovato"))</f>
        <v/>
      </c>
      <c r="D96" s="23" t="n"/>
      <c r="E96" s="21" t="n"/>
      <c r="F96" s="24" t="n"/>
      <c r="G96" s="24" t="n"/>
    </row>
    <row r="97" ht="15.75" customHeight="1">
      <c r="A97" s="20" t="n"/>
      <c r="B97" s="21" t="n"/>
      <c r="C97" s="22">
        <f>IF($B97="","",IFERROR(INDEX(Clienti!$B:$B,MATCH($B97,Clienti!$A:$A,0)),"Codice non trovato"))</f>
        <v/>
      </c>
      <c r="D97" s="23" t="n"/>
      <c r="E97" s="21" t="n"/>
      <c r="F97" s="24" t="n"/>
      <c r="G97" s="24" t="n"/>
    </row>
    <row r="98" ht="15.75" customHeight="1">
      <c r="A98" s="20" t="n"/>
      <c r="B98" s="21" t="n"/>
      <c r="C98" s="22">
        <f>IF($B98="","",IFERROR(INDEX(Clienti!$B:$B,MATCH($B98,Clienti!$A:$A,0)),"Codice non trovato"))</f>
        <v/>
      </c>
      <c r="D98" s="23" t="n"/>
      <c r="E98" s="21" t="n"/>
      <c r="F98" s="24" t="n"/>
      <c r="G98" s="24" t="n"/>
    </row>
    <row r="99" ht="15.75" customHeight="1">
      <c r="A99" s="20" t="n"/>
      <c r="B99" s="21" t="n"/>
      <c r="C99" s="22">
        <f>IF($B99="","",IFERROR(INDEX(Clienti!$B:$B,MATCH($B99,Clienti!$A:$A,0)),"Codice non trovato"))</f>
        <v/>
      </c>
      <c r="D99" s="23" t="n"/>
      <c r="E99" s="21" t="n"/>
      <c r="F99" s="24" t="n"/>
      <c r="G99" s="24" t="n"/>
    </row>
    <row r="100" ht="15.75" customHeight="1">
      <c r="A100" s="20" t="n"/>
      <c r="B100" s="21" t="n"/>
      <c r="C100" s="22">
        <f>IF($B100="","",IFERROR(INDEX(Clienti!$B:$B,MATCH($B100,Clienti!$A:$A,0)),"Codice non trovato"))</f>
        <v/>
      </c>
      <c r="D100" s="23" t="n"/>
      <c r="E100" s="21" t="n"/>
      <c r="F100" s="24" t="n"/>
      <c r="G100" s="24" t="n"/>
    </row>
    <row r="101" ht="15.75" customHeight="1">
      <c r="A101" s="20" t="n"/>
      <c r="B101" s="21" t="n"/>
      <c r="C101" s="22">
        <f>IF($B101="","",IFERROR(INDEX(Clienti!$B:$B,MATCH($B101,Clienti!$A:$A,0)),"Codice non trovato"))</f>
        <v/>
      </c>
      <c r="D101" s="23" t="n"/>
      <c r="E101" s="21" t="n"/>
      <c r="F101" s="24" t="n"/>
      <c r="G101" s="24" t="n"/>
    </row>
    <row r="102" ht="15.75" customHeight="1">
      <c r="A102" s="20" t="n"/>
      <c r="B102" s="21" t="n"/>
      <c r="C102" s="22">
        <f>IF($B102="","",IFERROR(INDEX(Clienti!$B:$B,MATCH($B102,Clienti!$A:$A,0)),"Codice non trovato"))</f>
        <v/>
      </c>
      <c r="D102" s="23" t="n"/>
      <c r="E102" s="21" t="n"/>
      <c r="F102" s="24" t="n"/>
      <c r="G102" s="24" t="n"/>
    </row>
    <row r="103" ht="15.75" customHeight="1">
      <c r="A103" s="20" t="n"/>
      <c r="B103" s="21" t="n"/>
      <c r="C103" s="22">
        <f>IF($B103="","",IFERROR(INDEX(Clienti!$B:$B,MATCH($B103,Clienti!$A:$A,0)),"Codice non trovato"))</f>
        <v/>
      </c>
      <c r="D103" s="23" t="n"/>
      <c r="E103" s="21" t="n"/>
      <c r="F103" s="24" t="n"/>
      <c r="G103" s="24" t="n"/>
    </row>
    <row r="104" ht="15.75" customHeight="1">
      <c r="A104" s="20" t="n"/>
      <c r="B104" s="21" t="n"/>
      <c r="C104" s="22">
        <f>IF($B104="","",IFERROR(INDEX(Clienti!$B:$B,MATCH($B104,Clienti!$A:$A,0)),"Codice non trovato"))</f>
        <v/>
      </c>
      <c r="D104" s="23" t="n"/>
      <c r="E104" s="21" t="n"/>
      <c r="F104" s="24" t="n"/>
      <c r="G104" s="24" t="n"/>
    </row>
    <row r="105" ht="15.75" customHeight="1">
      <c r="A105" s="20" t="n"/>
      <c r="B105" s="21" t="n"/>
      <c r="C105" s="22">
        <f>IF($B105="","",IFERROR(INDEX(Clienti!$B:$B,MATCH($B105,Clienti!$A:$A,0)),"Codice non trovato"))</f>
        <v/>
      </c>
      <c r="D105" s="23" t="n"/>
      <c r="E105" s="21" t="n"/>
      <c r="F105" s="24" t="n"/>
      <c r="G105" s="24" t="n"/>
    </row>
    <row r="106" ht="15.75" customHeight="1">
      <c r="A106" s="20" t="n"/>
      <c r="B106" s="21" t="n"/>
      <c r="C106" s="22">
        <f>IF($B106="","",IFERROR(INDEX(Clienti!$B:$B,MATCH($B106,Clienti!$A:$A,0)),"Codice non trovato"))</f>
        <v/>
      </c>
      <c r="D106" s="23" t="n"/>
      <c r="E106" s="21" t="n"/>
      <c r="F106" s="24" t="n"/>
      <c r="G106" s="24" t="n"/>
    </row>
    <row r="107" ht="15.75" customHeight="1">
      <c r="A107" s="20" t="n"/>
      <c r="B107" s="21" t="n"/>
      <c r="C107" s="22">
        <f>IF($B107="","",IFERROR(INDEX(Clienti!$B:$B,MATCH($B107,Clienti!$A:$A,0)),"Codice non trovato"))</f>
        <v/>
      </c>
      <c r="D107" s="23" t="n"/>
      <c r="E107" s="21" t="n"/>
      <c r="F107" s="24" t="n"/>
      <c r="G107" s="24" t="n"/>
    </row>
    <row r="108" ht="15.75" customHeight="1">
      <c r="A108" s="20" t="n"/>
      <c r="B108" s="21" t="n"/>
      <c r="C108" s="22">
        <f>IF($B108="","",IFERROR(INDEX(Clienti!$B:$B,MATCH($B108,Clienti!$A:$A,0)),"Codice non trovato"))</f>
        <v/>
      </c>
      <c r="D108" s="23" t="n"/>
      <c r="E108" s="21" t="n"/>
      <c r="F108" s="24" t="n"/>
      <c r="G108" s="24" t="n"/>
    </row>
    <row r="109" ht="15.75" customHeight="1">
      <c r="A109" s="20" t="n"/>
      <c r="B109" s="21" t="n"/>
      <c r="C109" s="22">
        <f>IF($B109="","",IFERROR(INDEX(Clienti!$B:$B,MATCH($B109,Clienti!$A:$A,0)),"Codice non trovato"))</f>
        <v/>
      </c>
      <c r="D109" s="23" t="n"/>
      <c r="E109" s="21" t="n"/>
      <c r="F109" s="24" t="n"/>
      <c r="G109" s="24" t="n"/>
    </row>
    <row r="110" ht="15.75" customHeight="1">
      <c r="A110" s="20" t="n"/>
      <c r="B110" s="21" t="n"/>
      <c r="C110" s="22">
        <f>IF($B110="","",IFERROR(INDEX(Clienti!$B:$B,MATCH($B110,Clienti!$A:$A,0)),"Codice non trovato"))</f>
        <v/>
      </c>
      <c r="D110" s="23" t="n"/>
      <c r="E110" s="21" t="n"/>
      <c r="F110" s="24" t="n"/>
      <c r="G110" s="24" t="n"/>
    </row>
    <row r="111" ht="15.75" customHeight="1">
      <c r="A111" s="20" t="n"/>
      <c r="B111" s="21" t="n"/>
      <c r="C111" s="22">
        <f>IF($B111="","",IFERROR(INDEX(Clienti!$B:$B,MATCH($B111,Clienti!$A:$A,0)),"Codice non trovato"))</f>
        <v/>
      </c>
      <c r="D111" s="23" t="n"/>
      <c r="E111" s="21" t="n"/>
      <c r="F111" s="24" t="n"/>
      <c r="G111" s="24" t="n"/>
    </row>
    <row r="112" ht="15.75" customHeight="1">
      <c r="A112" s="20" t="n"/>
      <c r="B112" s="21" t="n"/>
      <c r="C112" s="22">
        <f>IF($B112="","",IFERROR(INDEX(Clienti!$B:$B,MATCH($B112,Clienti!$A:$A,0)),"Codice non trovato"))</f>
        <v/>
      </c>
      <c r="D112" s="23" t="n"/>
      <c r="E112" s="21" t="n"/>
      <c r="F112" s="24" t="n"/>
      <c r="G112" s="24" t="n"/>
    </row>
    <row r="113" ht="15.75" customHeight="1">
      <c r="A113" s="20" t="n"/>
      <c r="B113" s="21" t="n"/>
      <c r="C113" s="22">
        <f>IF($B113="","",IFERROR(INDEX(Clienti!$B:$B,MATCH($B113,Clienti!$A:$A,0)),"Codice non trovato"))</f>
        <v/>
      </c>
      <c r="D113" s="23" t="n"/>
      <c r="E113" s="21" t="n"/>
      <c r="F113" s="24" t="n"/>
      <c r="G113" s="24" t="n"/>
    </row>
    <row r="114" ht="15.75" customHeight="1">
      <c r="A114" s="20" t="n"/>
      <c r="B114" s="21" t="n"/>
      <c r="C114" s="22">
        <f>IF($B114="","",IFERROR(INDEX(Clienti!$B:$B,MATCH($B114,Clienti!$A:$A,0)),"Codice non trovato"))</f>
        <v/>
      </c>
      <c r="D114" s="23" t="n"/>
      <c r="E114" s="21" t="n"/>
      <c r="F114" s="24" t="n"/>
      <c r="G114" s="24" t="n"/>
    </row>
    <row r="115" ht="15.75" customHeight="1">
      <c r="A115" s="20" t="n"/>
      <c r="B115" s="21" t="n"/>
      <c r="C115" s="22">
        <f>IF($B115="","",IFERROR(INDEX(Clienti!$B:$B,MATCH($B115,Clienti!$A:$A,0)),"Codice non trovato"))</f>
        <v/>
      </c>
      <c r="D115" s="23" t="n"/>
      <c r="E115" s="21" t="n"/>
      <c r="F115" s="24" t="n"/>
      <c r="G115" s="24" t="n"/>
    </row>
    <row r="116" ht="15.75" customHeight="1">
      <c r="A116" s="20" t="n"/>
      <c r="B116" s="21" t="n"/>
      <c r="C116" s="22">
        <f>IF($B116="","",IFERROR(INDEX(Clienti!$B:$B,MATCH($B116,Clienti!$A:$A,0)),"Codice non trovato"))</f>
        <v/>
      </c>
      <c r="D116" s="23" t="n"/>
      <c r="E116" s="21" t="n"/>
      <c r="F116" s="24" t="n"/>
      <c r="G116" s="24" t="n"/>
    </row>
    <row r="117" ht="15.75" customHeight="1">
      <c r="A117" s="20" t="n"/>
      <c r="B117" s="21" t="n"/>
      <c r="C117" s="22">
        <f>IF($B117="","",IFERROR(INDEX(Clienti!$B:$B,MATCH($B117,Clienti!$A:$A,0)),"Codice non trovato"))</f>
        <v/>
      </c>
      <c r="D117" s="23" t="n"/>
      <c r="E117" s="21" t="n"/>
      <c r="F117" s="24" t="n"/>
      <c r="G117" s="24" t="n"/>
    </row>
    <row r="118" ht="15.75" customHeight="1">
      <c r="A118" s="20" t="n"/>
      <c r="B118" s="21" t="n"/>
      <c r="C118" s="22">
        <f>IF($B118="","",IFERROR(INDEX(Clienti!$B:$B,MATCH($B118,Clienti!$A:$A,0)),"Codice non trovato"))</f>
        <v/>
      </c>
      <c r="D118" s="23" t="n"/>
      <c r="E118" s="21" t="n"/>
      <c r="F118" s="24" t="n"/>
      <c r="G118" s="24" t="n"/>
    </row>
    <row r="119" ht="15.75" customHeight="1">
      <c r="A119" s="20" t="n"/>
      <c r="B119" s="21" t="n"/>
      <c r="C119" s="22">
        <f>IF($B119="","",IFERROR(INDEX(Clienti!$B:$B,MATCH($B119,Clienti!$A:$A,0)),"Codice non trovato"))</f>
        <v/>
      </c>
      <c r="D119" s="23" t="n"/>
      <c r="E119" s="21" t="n"/>
      <c r="F119" s="24" t="n"/>
      <c r="G119" s="24" t="n"/>
    </row>
    <row r="120" ht="15.75" customHeight="1">
      <c r="A120" s="20" t="n"/>
      <c r="B120" s="21" t="n"/>
      <c r="C120" s="22">
        <f>IF($B120="","",IFERROR(INDEX(Clienti!$B:$B,MATCH($B120,Clienti!$A:$A,0)),"Codice non trovato"))</f>
        <v/>
      </c>
      <c r="D120" s="23" t="n"/>
      <c r="E120" s="21" t="n"/>
      <c r="F120" s="24" t="n"/>
      <c r="G120" s="24" t="n"/>
    </row>
    <row r="121" ht="15.75" customHeight="1">
      <c r="A121" s="20" t="n"/>
      <c r="B121" s="21" t="n"/>
      <c r="C121" s="22">
        <f>IF($B121="","",IFERROR(INDEX(Clienti!$B:$B,MATCH($B121,Clienti!$A:$A,0)),"Codice non trovato"))</f>
        <v/>
      </c>
      <c r="D121" s="23" t="n"/>
      <c r="E121" s="21" t="n"/>
      <c r="F121" s="24" t="n"/>
      <c r="G121" s="24" t="n"/>
    </row>
    <row r="122" ht="15.75" customHeight="1">
      <c r="A122" s="20" t="n"/>
      <c r="B122" s="21" t="n"/>
      <c r="C122" s="22">
        <f>IF($B122="","",IFERROR(INDEX(Clienti!$B:$B,MATCH($B122,Clienti!$A:$A,0)),"Codice non trovato"))</f>
        <v/>
      </c>
      <c r="D122" s="23" t="n"/>
      <c r="E122" s="21" t="n"/>
      <c r="F122" s="24" t="n"/>
      <c r="G122" s="24" t="n"/>
    </row>
    <row r="123" ht="15.75" customHeight="1">
      <c r="A123" s="20" t="n"/>
      <c r="B123" s="21" t="n"/>
      <c r="C123" s="22">
        <f>IF($B123="","",IFERROR(INDEX(Clienti!$B:$B,MATCH($B123,Clienti!$A:$A,0)),"Codice non trovato"))</f>
        <v/>
      </c>
      <c r="D123" s="23" t="n"/>
      <c r="E123" s="21" t="n"/>
      <c r="F123" s="24" t="n"/>
      <c r="G123" s="24" t="n"/>
    </row>
    <row r="124" ht="15.75" customHeight="1">
      <c r="A124" s="20" t="n"/>
      <c r="B124" s="21" t="n"/>
      <c r="C124" s="22">
        <f>IF($B124="","",IFERROR(INDEX(Clienti!$B:$B,MATCH($B124,Clienti!$A:$A,0)),"Codice non trovato"))</f>
        <v/>
      </c>
      <c r="D124" s="23" t="n"/>
      <c r="E124" s="21" t="n"/>
      <c r="F124" s="24" t="n"/>
      <c r="G124" s="24" t="n"/>
    </row>
    <row r="125" ht="15.75" customHeight="1">
      <c r="A125" s="20" t="n"/>
      <c r="B125" s="21" t="n"/>
      <c r="C125" s="22">
        <f>IF($B125="","",IFERROR(INDEX(Clienti!$B:$B,MATCH($B125,Clienti!$A:$A,0)),"Codice non trovato"))</f>
        <v/>
      </c>
      <c r="D125" s="23" t="n"/>
      <c r="E125" s="21" t="n"/>
      <c r="F125" s="24" t="n"/>
      <c r="G125" s="24" t="n"/>
    </row>
    <row r="126" ht="15.75" customHeight="1">
      <c r="A126" s="20" t="n"/>
      <c r="B126" s="21" t="n"/>
      <c r="C126" s="22">
        <f>IF($B126="","",IFERROR(INDEX(Clienti!$B:$B,MATCH($B126,Clienti!$A:$A,0)),"Codice non trovato"))</f>
        <v/>
      </c>
      <c r="D126" s="23" t="n"/>
      <c r="E126" s="21" t="n"/>
      <c r="F126" s="24" t="n"/>
      <c r="G126" s="24" t="n"/>
    </row>
    <row r="127" ht="15.75" customHeight="1">
      <c r="A127" s="20" t="n"/>
      <c r="B127" s="21" t="n"/>
      <c r="C127" s="22">
        <f>IF($B127="","",IFERROR(INDEX(Clienti!$B:$B,MATCH($B127,Clienti!$A:$A,0)),"Codice non trovato"))</f>
        <v/>
      </c>
      <c r="D127" s="23" t="n"/>
      <c r="E127" s="21" t="n"/>
      <c r="F127" s="24" t="n"/>
      <c r="G127" s="24" t="n"/>
    </row>
    <row r="128" ht="15.75" customHeight="1">
      <c r="A128" s="20" t="n"/>
      <c r="B128" s="21" t="n"/>
      <c r="C128" s="22">
        <f>IF($B128="","",IFERROR(INDEX(Clienti!$B:$B,MATCH($B128,Clienti!$A:$A,0)),"Codice non trovato"))</f>
        <v/>
      </c>
      <c r="D128" s="23" t="n"/>
      <c r="E128" s="21" t="n"/>
      <c r="F128" s="24" t="n"/>
      <c r="G128" s="24" t="n"/>
    </row>
    <row r="129" ht="15.75" customHeight="1">
      <c r="A129" s="20" t="n"/>
      <c r="B129" s="21" t="n"/>
      <c r="C129" s="22">
        <f>IF($B129="","",IFERROR(INDEX(Clienti!$B:$B,MATCH($B129,Clienti!$A:$A,0)),"Codice non trovato"))</f>
        <v/>
      </c>
      <c r="D129" s="23" t="n"/>
      <c r="E129" s="21" t="n"/>
      <c r="F129" s="24" t="n"/>
      <c r="G129" s="24" t="n"/>
    </row>
    <row r="130" ht="15.75" customHeight="1">
      <c r="A130" s="20" t="n"/>
      <c r="B130" s="21" t="n"/>
      <c r="C130" s="22">
        <f>IF($B130="","",IFERROR(INDEX(Clienti!$B:$B,MATCH($B130,Clienti!$A:$A,0)),"Codice non trovato"))</f>
        <v/>
      </c>
      <c r="D130" s="23" t="n"/>
      <c r="E130" s="21" t="n"/>
      <c r="F130" s="24" t="n"/>
      <c r="G130" s="24" t="n"/>
    </row>
    <row r="131" ht="15.75" customHeight="1">
      <c r="A131" s="20" t="n"/>
      <c r="B131" s="21" t="n"/>
      <c r="C131" s="22">
        <f>IF($B131="","",IFERROR(INDEX(Clienti!$B:$B,MATCH($B131,Clienti!$A:$A,0)),"Codice non trovato"))</f>
        <v/>
      </c>
      <c r="D131" s="23" t="n"/>
      <c r="E131" s="21" t="n"/>
      <c r="F131" s="24" t="n"/>
      <c r="G131" s="24" t="n"/>
    </row>
    <row r="132" ht="15.75" customHeight="1">
      <c r="A132" s="20" t="n"/>
      <c r="B132" s="21" t="n"/>
      <c r="C132" s="22">
        <f>IF($B132="","",IFERROR(INDEX(Clienti!$B:$B,MATCH($B132,Clienti!$A:$A,0)),"Codice non trovato"))</f>
        <v/>
      </c>
      <c r="D132" s="23" t="n"/>
      <c r="E132" s="21" t="n"/>
      <c r="F132" s="24" t="n"/>
      <c r="G132" s="24" t="n"/>
    </row>
    <row r="133" ht="15.75" customHeight="1">
      <c r="A133" s="20" t="n"/>
      <c r="B133" s="21" t="n"/>
      <c r="C133" s="22">
        <f>IF($B133="","",IFERROR(INDEX(Clienti!$B:$B,MATCH($B133,Clienti!$A:$A,0)),"Codice non trovato"))</f>
        <v/>
      </c>
      <c r="D133" s="23" t="n"/>
      <c r="E133" s="21" t="n"/>
      <c r="F133" s="24" t="n"/>
      <c r="G133" s="24" t="n"/>
    </row>
    <row r="134" ht="15.75" customHeight="1">
      <c r="A134" s="20" t="n"/>
      <c r="B134" s="21" t="n"/>
      <c r="C134" s="22">
        <f>IF($B134="","",IFERROR(INDEX(Clienti!$B:$B,MATCH($B134,Clienti!$A:$A,0)),"Codice non trovato"))</f>
        <v/>
      </c>
      <c r="D134" s="23" t="n"/>
      <c r="E134" s="21" t="n"/>
      <c r="F134" s="24" t="n"/>
      <c r="G134" s="24" t="n"/>
    </row>
    <row r="135" ht="15.75" customHeight="1">
      <c r="A135" s="20" t="n"/>
      <c r="B135" s="21" t="n"/>
      <c r="C135" s="22">
        <f>IF($B135="","",IFERROR(INDEX(Clienti!$B:$B,MATCH($B135,Clienti!$A:$A,0)),"Codice non trovato"))</f>
        <v/>
      </c>
      <c r="D135" s="23" t="n"/>
      <c r="E135" s="21" t="n"/>
      <c r="F135" s="24" t="n"/>
      <c r="G135" s="24" t="n"/>
    </row>
    <row r="136" ht="15.75" customHeight="1">
      <c r="A136" s="20" t="n"/>
      <c r="B136" s="21" t="n"/>
      <c r="C136" s="22">
        <f>IF($B136="","",IFERROR(INDEX(Clienti!$B:$B,MATCH($B136,Clienti!$A:$A,0)),"Codice non trovato"))</f>
        <v/>
      </c>
      <c r="D136" s="23" t="n"/>
      <c r="E136" s="21" t="n"/>
      <c r="F136" s="24" t="n"/>
      <c r="G136" s="24" t="n"/>
    </row>
    <row r="137" ht="15.75" customHeight="1">
      <c r="A137" s="20" t="n"/>
      <c r="B137" s="21" t="n"/>
      <c r="C137" s="22">
        <f>IF($B137="","",IFERROR(INDEX(Clienti!$B:$B,MATCH($B137,Clienti!$A:$A,0)),"Codice non trovato"))</f>
        <v/>
      </c>
      <c r="D137" s="23" t="n"/>
      <c r="E137" s="21" t="n"/>
      <c r="F137" s="24" t="n"/>
      <c r="G137" s="24" t="n"/>
    </row>
    <row r="138" ht="15.75" customHeight="1">
      <c r="A138" s="20" t="n"/>
      <c r="B138" s="21" t="n"/>
      <c r="C138" s="22">
        <f>IF($B138="","",IFERROR(INDEX(Clienti!$B:$B,MATCH($B138,Clienti!$A:$A,0)),"Codice non trovato"))</f>
        <v/>
      </c>
      <c r="D138" s="23" t="n"/>
      <c r="E138" s="21" t="n"/>
      <c r="F138" s="24" t="n"/>
      <c r="G138" s="24" t="n"/>
    </row>
    <row r="139" ht="15.75" customHeight="1">
      <c r="A139" s="20" t="n"/>
      <c r="B139" s="21" t="n"/>
      <c r="C139" s="22">
        <f>IF($B139="","",IFERROR(INDEX(Clienti!$B:$B,MATCH($B139,Clienti!$A:$A,0)),"Codice non trovato"))</f>
        <v/>
      </c>
      <c r="D139" s="23" t="n"/>
      <c r="E139" s="21" t="n"/>
      <c r="F139" s="24" t="n"/>
      <c r="G139" s="24" t="n"/>
    </row>
    <row r="140" ht="15.75" customHeight="1">
      <c r="A140" s="20" t="n"/>
      <c r="B140" s="21" t="n"/>
      <c r="C140" s="22">
        <f>IF($B140="","",IFERROR(INDEX(Clienti!$B:$B,MATCH($B140,Clienti!$A:$A,0)),"Codice non trovato"))</f>
        <v/>
      </c>
      <c r="D140" s="23" t="n"/>
      <c r="E140" s="21" t="n"/>
      <c r="F140" s="24" t="n"/>
      <c r="G140" s="24" t="n"/>
    </row>
    <row r="141" ht="15.75" customHeight="1">
      <c r="A141" s="20" t="n"/>
      <c r="B141" s="21" t="n"/>
      <c r="C141" s="22">
        <f>IF($B141="","",IFERROR(INDEX(Clienti!$B:$B,MATCH($B141,Clienti!$A:$A,0)),"Codice non trovato"))</f>
        <v/>
      </c>
      <c r="D141" s="23" t="n"/>
      <c r="E141" s="21" t="n"/>
      <c r="F141" s="24" t="n"/>
      <c r="G141" s="24" t="n"/>
    </row>
    <row r="142" ht="15.75" customHeight="1">
      <c r="A142" s="20" t="n"/>
      <c r="B142" s="21" t="n"/>
      <c r="C142" s="22">
        <f>IF($B142="","",IFERROR(INDEX(Clienti!$B:$B,MATCH($B142,Clienti!$A:$A,0)),"Codice non trovato"))</f>
        <v/>
      </c>
      <c r="D142" s="23" t="n"/>
      <c r="E142" s="21" t="n"/>
      <c r="F142" s="24" t="n"/>
      <c r="G142" s="24" t="n"/>
    </row>
    <row r="143" ht="15.75" customHeight="1">
      <c r="A143" s="20" t="n"/>
      <c r="B143" s="21" t="n"/>
      <c r="C143" s="22">
        <f>IF($B143="","",IFERROR(INDEX(Clienti!$B:$B,MATCH($B143,Clienti!$A:$A,0)),"Codice non trovato"))</f>
        <v/>
      </c>
      <c r="D143" s="23" t="n"/>
      <c r="E143" s="21" t="n"/>
      <c r="F143" s="24" t="n"/>
      <c r="G143" s="24" t="n"/>
    </row>
    <row r="144" ht="15.75" customHeight="1">
      <c r="A144" s="20" t="n"/>
      <c r="B144" s="21" t="n"/>
      <c r="C144" s="22">
        <f>IF($B144="","",IFERROR(INDEX(Clienti!$B:$B,MATCH($B144,Clienti!$A:$A,0)),"Codice non trovato"))</f>
        <v/>
      </c>
      <c r="D144" s="23" t="n"/>
      <c r="E144" s="21" t="n"/>
      <c r="F144" s="24" t="n"/>
      <c r="G144" s="24" t="n"/>
    </row>
    <row r="145" ht="15.75" customHeight="1">
      <c r="A145" s="20" t="n"/>
      <c r="B145" s="21" t="n"/>
      <c r="C145" s="22">
        <f>IF($B145="","",IFERROR(INDEX(Clienti!$B:$B,MATCH($B145,Clienti!$A:$A,0)),"Codice non trovato"))</f>
        <v/>
      </c>
      <c r="D145" s="23" t="n"/>
      <c r="E145" s="21" t="n"/>
      <c r="F145" s="24" t="n"/>
      <c r="G145" s="24" t="n"/>
    </row>
    <row r="146" ht="15.75" customHeight="1">
      <c r="A146" s="20" t="n"/>
      <c r="B146" s="21" t="n"/>
      <c r="C146" s="22">
        <f>IF($B146="","",IFERROR(INDEX(Clienti!$B:$B,MATCH($B146,Clienti!$A:$A,0)),"Codice non trovato"))</f>
        <v/>
      </c>
      <c r="D146" s="23" t="n"/>
      <c r="E146" s="21" t="n"/>
      <c r="F146" s="24" t="n"/>
      <c r="G146" s="24" t="n"/>
    </row>
    <row r="147" ht="15.75" customHeight="1">
      <c r="A147" s="20" t="n"/>
      <c r="B147" s="21" t="n"/>
      <c r="C147" s="22">
        <f>IF($B147="","",IFERROR(INDEX(Clienti!$B:$B,MATCH($B147,Clienti!$A:$A,0)),"Codice non trovato"))</f>
        <v/>
      </c>
      <c r="D147" s="23" t="n"/>
      <c r="E147" s="21" t="n"/>
      <c r="F147" s="24" t="n"/>
      <c r="G147" s="24" t="n"/>
    </row>
    <row r="148" ht="15.75" customHeight="1">
      <c r="A148" s="20" t="n"/>
      <c r="B148" s="21" t="n"/>
      <c r="C148" s="22">
        <f>IF($B148="","",IFERROR(INDEX(Clienti!$B:$B,MATCH($B148,Clienti!$A:$A,0)),"Codice non trovato"))</f>
        <v/>
      </c>
      <c r="D148" s="23" t="n"/>
      <c r="E148" s="21" t="n"/>
      <c r="F148" s="24" t="n"/>
      <c r="G148" s="24" t="n"/>
    </row>
    <row r="149" ht="15.75" customHeight="1">
      <c r="A149" s="20" t="n"/>
      <c r="B149" s="21" t="n"/>
      <c r="C149" s="22">
        <f>IF($B149="","",IFERROR(INDEX(Clienti!$B:$B,MATCH($B149,Clienti!$A:$A,0)),"Codice non trovato"))</f>
        <v/>
      </c>
      <c r="D149" s="23" t="n"/>
      <c r="E149" s="21" t="n"/>
      <c r="F149" s="24" t="n"/>
      <c r="G149" s="24" t="n"/>
    </row>
    <row r="150" ht="15.75" customHeight="1">
      <c r="A150" s="20" t="n"/>
      <c r="B150" s="21" t="n"/>
      <c r="C150" s="22">
        <f>IF($B150="","",IFERROR(INDEX(Clienti!$B:$B,MATCH($B150,Clienti!$A:$A,0)),"Codice non trovato"))</f>
        <v/>
      </c>
      <c r="D150" s="23" t="n"/>
      <c r="E150" s="21" t="n"/>
      <c r="F150" s="24" t="n"/>
      <c r="G150" s="24" t="n"/>
    </row>
    <row r="151" ht="15.75" customHeight="1">
      <c r="A151" s="20" t="n"/>
      <c r="B151" s="21" t="n"/>
      <c r="C151" s="22">
        <f>IF($B151="","",IFERROR(INDEX(Clienti!$B:$B,MATCH($B151,Clienti!$A:$A,0)),"Codice non trovato"))</f>
        <v/>
      </c>
      <c r="D151" s="23" t="n"/>
      <c r="E151" s="21" t="n"/>
      <c r="F151" s="24" t="n"/>
      <c r="G151" s="24" t="n"/>
    </row>
    <row r="152" ht="15.75" customHeight="1">
      <c r="A152" s="20" t="n"/>
      <c r="B152" s="21" t="n"/>
      <c r="C152" s="22">
        <f>IF($B152="","",IFERROR(INDEX(Clienti!$B:$B,MATCH($B152,Clienti!$A:$A,0)),"Codice non trovato"))</f>
        <v/>
      </c>
      <c r="D152" s="23" t="n"/>
      <c r="E152" s="21" t="n"/>
      <c r="F152" s="24" t="n"/>
      <c r="G152" s="24" t="n"/>
    </row>
    <row r="153" ht="15.75" customHeight="1">
      <c r="A153" s="20" t="n"/>
      <c r="B153" s="21" t="n"/>
      <c r="C153" s="22">
        <f>IF($B153="","",IFERROR(INDEX(Clienti!$B:$B,MATCH($B153,Clienti!$A:$A,0)),"Codice non trovato"))</f>
        <v/>
      </c>
      <c r="D153" s="23" t="n"/>
      <c r="E153" s="21" t="n"/>
      <c r="F153" s="24" t="n"/>
      <c r="G153" s="24" t="n"/>
    </row>
    <row r="154" ht="15.75" customHeight="1">
      <c r="A154" s="20" t="n"/>
      <c r="B154" s="21" t="n"/>
      <c r="C154" s="22">
        <f>IF($B154="","",IFERROR(INDEX(Clienti!$B:$B,MATCH($B154,Clienti!$A:$A,0)),"Codice non trovato"))</f>
        <v/>
      </c>
      <c r="D154" s="23" t="n"/>
      <c r="E154" s="21" t="n"/>
      <c r="F154" s="24" t="n"/>
      <c r="G154" s="24" t="n"/>
    </row>
    <row r="155" ht="15.75" customHeight="1">
      <c r="A155" s="20" t="n"/>
      <c r="B155" s="21" t="n"/>
      <c r="C155" s="22">
        <f>IF($B155="","",IFERROR(INDEX(Clienti!$B:$B,MATCH($B155,Clienti!$A:$A,0)),"Codice non trovato"))</f>
        <v/>
      </c>
      <c r="D155" s="23" t="n"/>
      <c r="E155" s="21" t="n"/>
      <c r="F155" s="24" t="n"/>
      <c r="G155" s="24" t="n"/>
    </row>
    <row r="156" ht="15.75" customHeight="1">
      <c r="A156" s="20" t="n"/>
      <c r="B156" s="21" t="n"/>
      <c r="C156" s="22">
        <f>IF($B156="","",IFERROR(INDEX(Clienti!$B:$B,MATCH($B156,Clienti!$A:$A,0)),"Codice non trovato"))</f>
        <v/>
      </c>
      <c r="D156" s="23" t="n"/>
      <c r="E156" s="21" t="n"/>
      <c r="F156" s="24" t="n"/>
      <c r="G156" s="24" t="n"/>
    </row>
    <row r="157" ht="15.75" customHeight="1">
      <c r="A157" s="20" t="n"/>
      <c r="B157" s="21" t="n"/>
      <c r="C157" s="22">
        <f>IF($B157="","",IFERROR(INDEX(Clienti!$B:$B,MATCH($B157,Clienti!$A:$A,0)),"Codice non trovato"))</f>
        <v/>
      </c>
      <c r="D157" s="23" t="n"/>
      <c r="E157" s="21" t="n"/>
      <c r="F157" s="24" t="n"/>
      <c r="G157" s="24" t="n"/>
    </row>
    <row r="158" ht="15.75" customHeight="1">
      <c r="A158" s="20" t="n"/>
      <c r="B158" s="21" t="n"/>
      <c r="C158" s="22">
        <f>IF($B158="","",IFERROR(INDEX(Clienti!$B:$B,MATCH($B158,Clienti!$A:$A,0)),"Codice non trovato"))</f>
        <v/>
      </c>
      <c r="D158" s="23" t="n"/>
      <c r="E158" s="21" t="n"/>
      <c r="F158" s="24" t="n"/>
      <c r="G158" s="24" t="n"/>
    </row>
    <row r="159" ht="15.75" customHeight="1">
      <c r="A159" s="20" t="n"/>
      <c r="B159" s="21" t="n"/>
      <c r="C159" s="22">
        <f>IF($B159="","",IFERROR(INDEX(Clienti!$B:$B,MATCH($B159,Clienti!$A:$A,0)),"Codice non trovato"))</f>
        <v/>
      </c>
      <c r="D159" s="23" t="n"/>
      <c r="E159" s="21" t="n"/>
      <c r="F159" s="24" t="n"/>
      <c r="G159" s="24" t="n"/>
    </row>
    <row r="160" ht="15.75" customHeight="1">
      <c r="A160" s="20" t="n"/>
      <c r="B160" s="21" t="n"/>
      <c r="C160" s="22">
        <f>IF($B160="","",IFERROR(INDEX(Clienti!$B:$B,MATCH($B160,Clienti!$A:$A,0)),"Codice non trovato"))</f>
        <v/>
      </c>
      <c r="D160" s="23" t="n"/>
      <c r="E160" s="21" t="n"/>
      <c r="F160" s="24" t="n"/>
      <c r="G160" s="24" t="n"/>
    </row>
    <row r="161" ht="15.75" customHeight="1">
      <c r="A161" s="20" t="n"/>
      <c r="B161" s="21" t="n"/>
      <c r="C161" s="22">
        <f>IF($B161="","",IFERROR(INDEX(Clienti!$B:$B,MATCH($B161,Clienti!$A:$A,0)),"Codice non trovato"))</f>
        <v/>
      </c>
      <c r="D161" s="23" t="n"/>
      <c r="E161" s="21" t="n"/>
      <c r="F161" s="24" t="n"/>
      <c r="G161" s="24" t="n"/>
    </row>
    <row r="162" ht="15.75" customHeight="1">
      <c r="A162" s="20" t="n"/>
      <c r="B162" s="21" t="n"/>
      <c r="C162" s="22">
        <f>IF($B162="","",IFERROR(INDEX(Clienti!$B:$B,MATCH($B162,Clienti!$A:$A,0)),"Codice non trovato"))</f>
        <v/>
      </c>
      <c r="D162" s="23" t="n"/>
      <c r="E162" s="21" t="n"/>
      <c r="F162" s="24" t="n"/>
      <c r="G162" s="24" t="n"/>
    </row>
    <row r="163" ht="15.75" customHeight="1">
      <c r="A163" s="20" t="n"/>
      <c r="B163" s="21" t="n"/>
      <c r="C163" s="22">
        <f>IF($B163="","",IFERROR(INDEX(Clienti!$B:$B,MATCH($B163,Clienti!$A:$A,0)),"Codice non trovato"))</f>
        <v/>
      </c>
      <c r="D163" s="23" t="n"/>
      <c r="E163" s="21" t="n"/>
      <c r="F163" s="24" t="n"/>
      <c r="G163" s="24" t="n"/>
    </row>
    <row r="164" ht="15.75" customHeight="1">
      <c r="A164" s="20" t="n"/>
      <c r="B164" s="21" t="n"/>
      <c r="C164" s="22">
        <f>IF($B164="","",IFERROR(INDEX(Clienti!$B:$B,MATCH($B164,Clienti!$A:$A,0)),"Codice non trovato"))</f>
        <v/>
      </c>
      <c r="D164" s="23" t="n"/>
      <c r="E164" s="21" t="n"/>
      <c r="F164" s="24" t="n"/>
      <c r="G164" s="24" t="n"/>
    </row>
    <row r="165" ht="15.75" customHeight="1">
      <c r="A165" s="20" t="n"/>
      <c r="B165" s="21" t="n"/>
      <c r="C165" s="22">
        <f>IF($B165="","",IFERROR(INDEX(Clienti!$B:$B,MATCH($B165,Clienti!$A:$A,0)),"Codice non trovato"))</f>
        <v/>
      </c>
      <c r="D165" s="23" t="n"/>
      <c r="E165" s="21" t="n"/>
      <c r="F165" s="24" t="n"/>
      <c r="G165" s="24" t="n"/>
    </row>
    <row r="166" ht="15.75" customHeight="1">
      <c r="A166" s="20" t="n"/>
      <c r="B166" s="21" t="n"/>
      <c r="C166" s="22">
        <f>IF($B166="","",IFERROR(INDEX(Clienti!$B:$B,MATCH($B166,Clienti!$A:$A,0)),"Codice non trovato"))</f>
        <v/>
      </c>
      <c r="D166" s="23" t="n"/>
      <c r="E166" s="21" t="n"/>
      <c r="F166" s="24" t="n"/>
      <c r="G166" s="24" t="n"/>
    </row>
    <row r="167" ht="15.75" customHeight="1">
      <c r="A167" s="20" t="n"/>
      <c r="B167" s="21" t="n"/>
      <c r="C167" s="22">
        <f>IF($B167="","",IFERROR(INDEX(Clienti!$B:$B,MATCH($B167,Clienti!$A:$A,0)),"Codice non trovato"))</f>
        <v/>
      </c>
      <c r="D167" s="23" t="n"/>
      <c r="E167" s="21" t="n"/>
      <c r="F167" s="24" t="n"/>
      <c r="G167" s="24" t="n"/>
    </row>
    <row r="168" ht="15.75" customHeight="1">
      <c r="A168" s="20" t="n"/>
      <c r="B168" s="21" t="n"/>
      <c r="C168" s="22">
        <f>IF($B168="","",IFERROR(INDEX(Clienti!$B:$B,MATCH($B168,Clienti!$A:$A,0)),"Codice non trovato"))</f>
        <v/>
      </c>
      <c r="D168" s="23" t="n"/>
      <c r="E168" s="21" t="n"/>
      <c r="F168" s="24" t="n"/>
      <c r="G168" s="24" t="n"/>
    </row>
    <row r="169" ht="15.75" customHeight="1">
      <c r="A169" s="20" t="n"/>
      <c r="B169" s="21" t="n"/>
      <c r="C169" s="22">
        <f>IF($B169="","",IFERROR(INDEX(Clienti!$B:$B,MATCH($B169,Clienti!$A:$A,0)),"Codice non trovato"))</f>
        <v/>
      </c>
      <c r="D169" s="23" t="n"/>
      <c r="E169" s="21" t="n"/>
      <c r="F169" s="24" t="n"/>
      <c r="G169" s="24" t="n"/>
    </row>
    <row r="170" ht="15.75" customHeight="1">
      <c r="A170" s="20" t="n"/>
      <c r="B170" s="21" t="n"/>
      <c r="C170" s="22">
        <f>IF($B170="","",IFERROR(INDEX(Clienti!$B:$B,MATCH($B170,Clienti!$A:$A,0)),"Codice non trovato"))</f>
        <v/>
      </c>
      <c r="D170" s="23" t="n"/>
      <c r="E170" s="21" t="n"/>
      <c r="F170" s="24" t="n"/>
      <c r="G170" s="24" t="n"/>
    </row>
    <row r="171" ht="15.75" customHeight="1">
      <c r="A171" s="20" t="n"/>
      <c r="B171" s="21" t="n"/>
      <c r="C171" s="22">
        <f>IF($B171="","",IFERROR(INDEX(Clienti!$B:$B,MATCH($B171,Clienti!$A:$A,0)),"Codice non trovato"))</f>
        <v/>
      </c>
      <c r="D171" s="23" t="n"/>
      <c r="E171" s="21" t="n"/>
      <c r="F171" s="24" t="n"/>
      <c r="G171" s="24" t="n"/>
    </row>
    <row r="172" ht="15.75" customHeight="1">
      <c r="A172" s="20" t="n"/>
      <c r="B172" s="21" t="n"/>
      <c r="C172" s="22">
        <f>IF($B172="","",IFERROR(INDEX(Clienti!$B:$B,MATCH($B172,Clienti!$A:$A,0)),"Codice non trovato"))</f>
        <v/>
      </c>
      <c r="D172" s="23" t="n"/>
      <c r="E172" s="21" t="n"/>
      <c r="F172" s="24" t="n"/>
      <c r="G172" s="24" t="n"/>
    </row>
    <row r="173" ht="15.75" customHeight="1">
      <c r="A173" s="20" t="n"/>
      <c r="B173" s="21" t="n"/>
      <c r="C173" s="22">
        <f>IF($B173="","",IFERROR(INDEX(Clienti!$B:$B,MATCH($B173,Clienti!$A:$A,0)),"Codice non trovato"))</f>
        <v/>
      </c>
      <c r="D173" s="23" t="n"/>
      <c r="E173" s="21" t="n"/>
      <c r="F173" s="24" t="n"/>
      <c r="G173" s="24" t="n"/>
    </row>
    <row r="174" ht="15.75" customHeight="1">
      <c r="A174" s="20" t="n"/>
      <c r="B174" s="21" t="n"/>
      <c r="C174" s="22">
        <f>IF($B174="","",IFERROR(INDEX(Clienti!$B:$B,MATCH($B174,Clienti!$A:$A,0)),"Codice non trovato"))</f>
        <v/>
      </c>
      <c r="D174" s="23" t="n"/>
      <c r="E174" s="21" t="n"/>
      <c r="F174" s="24" t="n"/>
      <c r="G174" s="24" t="n"/>
    </row>
    <row r="175" ht="15.75" customHeight="1">
      <c r="A175" s="20" t="n"/>
      <c r="B175" s="21" t="n"/>
      <c r="C175" s="22">
        <f>IF($B175="","",IFERROR(INDEX(Clienti!$B:$B,MATCH($B175,Clienti!$A:$A,0)),"Codice non trovato"))</f>
        <v/>
      </c>
      <c r="D175" s="23" t="n"/>
      <c r="E175" s="21" t="n"/>
      <c r="F175" s="24" t="n"/>
      <c r="G175" s="24" t="n"/>
    </row>
    <row r="176" ht="15.75" customHeight="1">
      <c r="A176" s="20" t="n"/>
      <c r="B176" s="21" t="n"/>
      <c r="C176" s="22">
        <f>IF($B176="","",IFERROR(INDEX(Clienti!$B:$B,MATCH($B176,Clienti!$A:$A,0)),"Codice non trovato"))</f>
        <v/>
      </c>
      <c r="D176" s="23" t="n"/>
      <c r="E176" s="21" t="n"/>
      <c r="F176" s="24" t="n"/>
      <c r="G176" s="24" t="n"/>
    </row>
    <row r="177" ht="15.75" customHeight="1">
      <c r="A177" s="20" t="n"/>
      <c r="B177" s="21" t="n"/>
      <c r="C177" s="22">
        <f>IF($B177="","",IFERROR(INDEX(Clienti!$B:$B,MATCH($B177,Clienti!$A:$A,0)),"Codice non trovato"))</f>
        <v/>
      </c>
      <c r="D177" s="23" t="n"/>
      <c r="E177" s="21" t="n"/>
      <c r="F177" s="24" t="n"/>
      <c r="G177" s="24" t="n"/>
    </row>
    <row r="178" ht="15.75" customHeight="1">
      <c r="A178" s="20" t="n"/>
      <c r="B178" s="21" t="n"/>
      <c r="C178" s="22">
        <f>IF($B178="","",IFERROR(INDEX(Clienti!$B:$B,MATCH($B178,Clienti!$A:$A,0)),"Codice non trovato"))</f>
        <v/>
      </c>
      <c r="D178" s="23" t="n"/>
      <c r="E178" s="21" t="n"/>
      <c r="F178" s="24" t="n"/>
      <c r="G178" s="24" t="n"/>
    </row>
    <row r="179" ht="15.75" customHeight="1">
      <c r="A179" s="20" t="n"/>
      <c r="B179" s="21" t="n"/>
      <c r="C179" s="22">
        <f>IF($B179="","",IFERROR(INDEX(Clienti!$B:$B,MATCH($B179,Clienti!$A:$A,0)),"Codice non trovato"))</f>
        <v/>
      </c>
      <c r="D179" s="23" t="n"/>
      <c r="E179" s="21" t="n"/>
      <c r="F179" s="24" t="n"/>
      <c r="G179" s="24" t="n"/>
    </row>
    <row r="180" ht="15.75" customHeight="1">
      <c r="A180" s="20" t="n"/>
      <c r="B180" s="21" t="n"/>
      <c r="C180" s="22">
        <f>IF($B180="","",IFERROR(INDEX(Clienti!$B:$B,MATCH($B180,Clienti!$A:$A,0)),"Codice non trovato"))</f>
        <v/>
      </c>
      <c r="D180" s="23" t="n"/>
      <c r="E180" s="21" t="n"/>
      <c r="F180" s="24" t="n"/>
      <c r="G180" s="24" t="n"/>
    </row>
    <row r="181" ht="15.75" customHeight="1">
      <c r="A181" s="20" t="n"/>
      <c r="B181" s="21" t="n"/>
      <c r="C181" s="22">
        <f>IF($B181="","",IFERROR(INDEX(Clienti!$B:$B,MATCH($B181,Clienti!$A:$A,0)),"Codice non trovato"))</f>
        <v/>
      </c>
      <c r="D181" s="23" t="n"/>
      <c r="E181" s="21" t="n"/>
      <c r="F181" s="24" t="n"/>
      <c r="G181" s="24" t="n"/>
    </row>
    <row r="182" ht="15.75" customHeight="1">
      <c r="A182" s="20" t="n"/>
      <c r="B182" s="21" t="n"/>
      <c r="C182" s="22">
        <f>IF($B182="","",IFERROR(INDEX(Clienti!$B:$B,MATCH($B182,Clienti!$A:$A,0)),"Codice non trovato"))</f>
        <v/>
      </c>
      <c r="D182" s="23" t="n"/>
      <c r="E182" s="21" t="n"/>
      <c r="F182" s="24" t="n"/>
      <c r="G182" s="24" t="n"/>
    </row>
    <row r="183" ht="15.75" customHeight="1">
      <c r="A183" s="20" t="n"/>
      <c r="B183" s="21" t="n"/>
      <c r="C183" s="22">
        <f>IF($B183="","",IFERROR(INDEX(Clienti!$B:$B,MATCH($B183,Clienti!$A:$A,0)),"Codice non trovato"))</f>
        <v/>
      </c>
      <c r="D183" s="23" t="n"/>
      <c r="E183" s="21" t="n"/>
      <c r="F183" s="24" t="n"/>
      <c r="G183" s="24" t="n"/>
    </row>
    <row r="184" ht="15.75" customHeight="1">
      <c r="A184" s="20" t="n"/>
      <c r="B184" s="21" t="n"/>
      <c r="C184" s="22">
        <f>IF($B184="","",IFERROR(INDEX(Clienti!$B:$B,MATCH($B184,Clienti!$A:$A,0)),"Codice non trovato"))</f>
        <v/>
      </c>
      <c r="D184" s="23" t="n"/>
      <c r="E184" s="21" t="n"/>
      <c r="F184" s="24" t="n"/>
      <c r="G184" s="24" t="n"/>
    </row>
    <row r="185" ht="15.75" customHeight="1">
      <c r="A185" s="20" t="n"/>
      <c r="B185" s="21" t="n"/>
      <c r="C185" s="22">
        <f>IF($B185="","",IFERROR(INDEX(Clienti!$B:$B,MATCH($B185,Clienti!$A:$A,0)),"Codice non trovato"))</f>
        <v/>
      </c>
      <c r="D185" s="23" t="n"/>
      <c r="E185" s="21" t="n"/>
      <c r="F185" s="24" t="n"/>
      <c r="G185" s="24" t="n"/>
    </row>
    <row r="186" ht="15.75" customHeight="1">
      <c r="A186" s="20" t="n"/>
      <c r="B186" s="21" t="n"/>
      <c r="C186" s="22">
        <f>IF($B186="","",IFERROR(INDEX(Clienti!$B:$B,MATCH($B186,Clienti!$A:$A,0)),"Codice non trovato"))</f>
        <v/>
      </c>
      <c r="D186" s="23" t="n"/>
      <c r="E186" s="21" t="n"/>
      <c r="F186" s="24" t="n"/>
      <c r="G186" s="24" t="n"/>
    </row>
    <row r="187" ht="15.75" customHeight="1">
      <c r="A187" s="20" t="n"/>
      <c r="B187" s="21" t="n"/>
      <c r="C187" s="22">
        <f>IF($B187="","",IFERROR(INDEX(Clienti!$B:$B,MATCH($B187,Clienti!$A:$A,0)),"Codice non trovato"))</f>
        <v/>
      </c>
      <c r="D187" s="23" t="n"/>
      <c r="E187" s="21" t="n"/>
      <c r="F187" s="24" t="n"/>
      <c r="G187" s="24" t="n"/>
    </row>
    <row r="188" ht="15.75" customHeight="1">
      <c r="A188" s="20" t="n"/>
      <c r="B188" s="21" t="n"/>
      <c r="C188" s="22">
        <f>IF($B188="","",IFERROR(INDEX(Clienti!$B:$B,MATCH($B188,Clienti!$A:$A,0)),"Codice non trovato"))</f>
        <v/>
      </c>
      <c r="D188" s="23" t="n"/>
      <c r="E188" s="21" t="n"/>
      <c r="F188" s="24" t="n"/>
      <c r="G188" s="24" t="n"/>
    </row>
    <row r="189" ht="15.75" customHeight="1">
      <c r="A189" s="20" t="n"/>
      <c r="B189" s="21" t="n"/>
      <c r="C189" s="22">
        <f>IF($B189="","",IFERROR(INDEX(Clienti!$B:$B,MATCH($B189,Clienti!$A:$A,0)),"Codice non trovato"))</f>
        <v/>
      </c>
      <c r="D189" s="23" t="n"/>
      <c r="E189" s="21" t="n"/>
      <c r="F189" s="24" t="n"/>
      <c r="G189" s="24" t="n"/>
    </row>
    <row r="190" ht="15.75" customHeight="1">
      <c r="A190" s="20" t="n"/>
      <c r="B190" s="21" t="n"/>
      <c r="C190" s="22">
        <f>IF($B190="","",IFERROR(INDEX(Clienti!$B:$B,MATCH($B190,Clienti!$A:$A,0)),"Codice non trovato"))</f>
        <v/>
      </c>
      <c r="D190" s="23" t="n"/>
      <c r="E190" s="21" t="n"/>
      <c r="F190" s="24" t="n"/>
      <c r="G190" s="24" t="n"/>
    </row>
    <row r="191" ht="15.75" customHeight="1">
      <c r="A191" s="20" t="n"/>
      <c r="B191" s="21" t="n"/>
      <c r="C191" s="22">
        <f>IF($B191="","",IFERROR(INDEX(Clienti!$B:$B,MATCH($B191,Clienti!$A:$A,0)),"Codice non trovato"))</f>
        <v/>
      </c>
      <c r="D191" s="23" t="n"/>
      <c r="E191" s="21" t="n"/>
      <c r="F191" s="24" t="n"/>
      <c r="G191" s="24" t="n"/>
    </row>
    <row r="192" ht="15.75" customHeight="1">
      <c r="A192" s="20" t="n"/>
      <c r="B192" s="21" t="n"/>
      <c r="C192" s="22">
        <f>IF($B192="","",IFERROR(INDEX(Clienti!$B:$B,MATCH($B192,Clienti!$A:$A,0)),"Codice non trovato"))</f>
        <v/>
      </c>
      <c r="D192" s="23" t="n"/>
      <c r="E192" s="21" t="n"/>
      <c r="F192" s="24" t="n"/>
      <c r="G192" s="24" t="n"/>
    </row>
    <row r="193" ht="15.75" customHeight="1">
      <c r="A193" s="20" t="n"/>
      <c r="B193" s="21" t="n"/>
      <c r="C193" s="22">
        <f>IF($B193="","",IFERROR(INDEX(Clienti!$B:$B,MATCH($B193,Clienti!$A:$A,0)),"Codice non trovato"))</f>
        <v/>
      </c>
      <c r="D193" s="23" t="n"/>
      <c r="E193" s="21" t="n"/>
      <c r="F193" s="24" t="n"/>
      <c r="G193" s="24" t="n"/>
    </row>
    <row r="194" ht="15.75" customHeight="1">
      <c r="A194" s="20" t="n"/>
      <c r="B194" s="21" t="n"/>
      <c r="C194" s="22">
        <f>IF($B194="","",IFERROR(INDEX(Clienti!$B:$B,MATCH($B194,Clienti!$A:$A,0)),"Codice non trovato"))</f>
        <v/>
      </c>
      <c r="D194" s="23" t="n"/>
      <c r="E194" s="21" t="n"/>
      <c r="F194" s="24" t="n"/>
      <c r="G194" s="24" t="n"/>
    </row>
    <row r="195" ht="15.75" customHeight="1">
      <c r="A195" s="20" t="n"/>
      <c r="B195" s="21" t="n"/>
      <c r="C195" s="22">
        <f>IF($B195="","",IFERROR(INDEX(Clienti!$B:$B,MATCH($B195,Clienti!$A:$A,0)),"Codice non trovato"))</f>
        <v/>
      </c>
      <c r="D195" s="23" t="n"/>
      <c r="E195" s="21" t="n"/>
      <c r="F195" s="24" t="n"/>
      <c r="G195" s="24" t="n"/>
    </row>
    <row r="196" ht="15.75" customHeight="1">
      <c r="A196" s="20" t="n"/>
      <c r="B196" s="21" t="n"/>
      <c r="C196" s="22">
        <f>IF($B196="","",IFERROR(INDEX(Clienti!$B:$B,MATCH($B196,Clienti!$A:$A,0)),"Codice non trovato"))</f>
        <v/>
      </c>
      <c r="D196" s="23" t="n"/>
      <c r="E196" s="21" t="n"/>
      <c r="F196" s="24" t="n"/>
      <c r="G196" s="24" t="n"/>
    </row>
    <row r="197" ht="15.75" customHeight="1">
      <c r="A197" s="20" t="n"/>
      <c r="B197" s="21" t="n"/>
      <c r="C197" s="22">
        <f>IF($B197="","",IFERROR(INDEX(Clienti!$B:$B,MATCH($B197,Clienti!$A:$A,0)),"Codice non trovato"))</f>
        <v/>
      </c>
      <c r="D197" s="23" t="n"/>
      <c r="E197" s="21" t="n"/>
      <c r="F197" s="24" t="n"/>
      <c r="G197" s="24" t="n"/>
    </row>
    <row r="198" ht="15.75" customHeight="1">
      <c r="A198" s="20" t="n"/>
      <c r="B198" s="21" t="n"/>
      <c r="C198" s="22">
        <f>IF($B198="","",IFERROR(INDEX(Clienti!$B:$B,MATCH($B198,Clienti!$A:$A,0)),"Codice non trovato"))</f>
        <v/>
      </c>
      <c r="D198" s="23" t="n"/>
      <c r="E198" s="21" t="n"/>
      <c r="F198" s="24" t="n"/>
      <c r="G198" s="24" t="n"/>
    </row>
    <row r="199" ht="15.75" customHeight="1">
      <c r="A199" s="20" t="n"/>
      <c r="B199" s="21" t="n"/>
      <c r="C199" s="22">
        <f>IF($B199="","",IFERROR(INDEX(Clienti!$B:$B,MATCH($B199,Clienti!$A:$A,0)),"Codice non trovato"))</f>
        <v/>
      </c>
      <c r="D199" s="23" t="n"/>
      <c r="E199" s="21" t="n"/>
      <c r="F199" s="24" t="n"/>
      <c r="G199" s="24" t="n"/>
    </row>
    <row r="200" ht="15.75" customHeight="1">
      <c r="A200" s="20" t="n"/>
      <c r="B200" s="21" t="n"/>
      <c r="C200" s="22">
        <f>IF($B200="","",IFERROR(INDEX(Clienti!$B:$B,MATCH($B200,Clienti!$A:$A,0)),"Codice non trovato"))</f>
        <v/>
      </c>
      <c r="D200" s="23" t="n"/>
      <c r="E200" s="21" t="n"/>
      <c r="F200" s="24" t="n"/>
      <c r="G200" s="24" t="n"/>
    </row>
    <row r="201" ht="15.75" customHeight="1">
      <c r="A201" s="20" t="n"/>
      <c r="B201" s="21" t="n"/>
      <c r="C201" s="22">
        <f>IF($B201="","",IFERROR(INDEX(Clienti!$B:$B,MATCH($B201,Clienti!$A:$A,0)),"Codice non trovato"))</f>
        <v/>
      </c>
      <c r="D201" s="23" t="n"/>
      <c r="E201" s="21" t="n"/>
      <c r="F201" s="24" t="n"/>
      <c r="G201" s="24" t="n"/>
    </row>
    <row r="202" ht="15.75" customHeight="1">
      <c r="A202" s="20" t="n"/>
      <c r="B202" s="21" t="n"/>
      <c r="C202" s="22">
        <f>IF($B202="","",IFERROR(INDEX(Clienti!$B:$B,MATCH($B202,Clienti!$A:$A,0)),"Codice non trovato"))</f>
        <v/>
      </c>
      <c r="D202" s="23" t="n"/>
      <c r="E202" s="21" t="n"/>
      <c r="F202" s="24" t="n"/>
      <c r="G202" s="24" t="n"/>
    </row>
    <row r="203" ht="15.75" customHeight="1">
      <c r="A203" s="20" t="n"/>
      <c r="B203" s="21" t="n"/>
      <c r="C203" s="22">
        <f>IF($B203="","",IFERROR(INDEX(Clienti!$B:$B,MATCH($B203,Clienti!$A:$A,0)),"Codice non trovato"))</f>
        <v/>
      </c>
      <c r="D203" s="23" t="n"/>
      <c r="E203" s="21" t="n"/>
      <c r="F203" s="24" t="n"/>
      <c r="G203" s="24" t="n"/>
    </row>
    <row r="204" ht="15.75" customHeight="1">
      <c r="A204" s="20" t="n"/>
      <c r="B204" s="21" t="n"/>
      <c r="C204" s="22">
        <f>IF($B204="","",IFERROR(INDEX(Clienti!$B:$B,MATCH($B204,Clienti!$A:$A,0)),"Codice non trovato"))</f>
        <v/>
      </c>
      <c r="D204" s="23" t="n"/>
      <c r="E204" s="21" t="n"/>
      <c r="F204" s="24" t="n"/>
      <c r="G204" s="24" t="n"/>
    </row>
    <row r="205" ht="15.75" customHeight="1">
      <c r="A205" s="20" t="n"/>
      <c r="B205" s="21" t="n"/>
      <c r="C205" s="22">
        <f>IF($B205="","",IFERROR(INDEX(Clienti!$B:$B,MATCH($B205,Clienti!$A:$A,0)),"Codice non trovato"))</f>
        <v/>
      </c>
      <c r="D205" s="23" t="n"/>
      <c r="E205" s="21" t="n"/>
      <c r="F205" s="24" t="n"/>
      <c r="G205" s="24" t="n"/>
    </row>
    <row r="206" ht="15.75" customHeight="1">
      <c r="A206" s="20" t="n"/>
      <c r="B206" s="21" t="n"/>
      <c r="C206" s="22">
        <f>IF($B206="","",IFERROR(INDEX(Clienti!$B:$B,MATCH($B206,Clienti!$A:$A,0)),"Codice non trovato"))</f>
        <v/>
      </c>
      <c r="D206" s="23" t="n"/>
      <c r="E206" s="21" t="n"/>
      <c r="F206" s="24" t="n"/>
      <c r="G206" s="24" t="n"/>
    </row>
    <row r="207" ht="15.75" customHeight="1">
      <c r="A207" s="20" t="n"/>
      <c r="B207" s="21" t="n"/>
      <c r="C207" s="22">
        <f>IF($B207="","",IFERROR(INDEX(Clienti!$B:$B,MATCH($B207,Clienti!$A:$A,0)),"Codice non trovato"))</f>
        <v/>
      </c>
      <c r="D207" s="23" t="n"/>
      <c r="E207" s="21" t="n"/>
      <c r="F207" s="24" t="n"/>
      <c r="G207" s="24" t="n"/>
    </row>
    <row r="208" ht="15.75" customHeight="1">
      <c r="A208" s="20" t="n"/>
      <c r="B208" s="21" t="n"/>
      <c r="C208" s="22">
        <f>IF($B208="","",IFERROR(INDEX(Clienti!$B:$B,MATCH($B208,Clienti!$A:$A,0)),"Codice non trovato"))</f>
        <v/>
      </c>
      <c r="D208" s="23" t="n"/>
      <c r="E208" s="21" t="n"/>
      <c r="F208" s="24" t="n"/>
      <c r="G208" s="24" t="n"/>
    </row>
    <row r="209" ht="15.75" customHeight="1">
      <c r="A209" s="20" t="n"/>
      <c r="B209" s="21" t="n"/>
      <c r="C209" s="22">
        <f>IF($B209="","",IFERROR(INDEX(Clienti!$B:$B,MATCH($B209,Clienti!$A:$A,0)),"Codice non trovato"))</f>
        <v/>
      </c>
      <c r="D209" s="23" t="n"/>
      <c r="E209" s="21" t="n"/>
      <c r="F209" s="24" t="n"/>
      <c r="G209" s="24" t="n"/>
    </row>
    <row r="210" ht="15.75" customHeight="1">
      <c r="A210" s="20" t="n"/>
      <c r="B210" s="21" t="n"/>
      <c r="C210" s="22">
        <f>IF($B210="","",IFERROR(INDEX(Clienti!$B:$B,MATCH($B210,Clienti!$A:$A,0)),"Codice non trovato"))</f>
        <v/>
      </c>
      <c r="D210" s="23" t="n"/>
      <c r="E210" s="21" t="n"/>
      <c r="F210" s="24" t="n"/>
      <c r="G210" s="24" t="n"/>
    </row>
    <row r="211" ht="15.75" customHeight="1">
      <c r="A211" s="20" t="n"/>
      <c r="B211" s="21" t="n"/>
      <c r="C211" s="22">
        <f>IF($B211="","",IFERROR(INDEX(Clienti!$B:$B,MATCH($B211,Clienti!$A:$A,0)),"Codice non trovato"))</f>
        <v/>
      </c>
      <c r="D211" s="23" t="n"/>
      <c r="E211" s="21" t="n"/>
      <c r="F211" s="24" t="n"/>
      <c r="G211" s="24" t="n"/>
    </row>
    <row r="212" ht="15.75" customHeight="1">
      <c r="A212" s="20" t="n"/>
      <c r="B212" s="21" t="n"/>
      <c r="C212" s="22">
        <f>IF($B212="","",IFERROR(INDEX(Clienti!$B:$B,MATCH($B212,Clienti!$A:$A,0)),"Codice non trovato"))</f>
        <v/>
      </c>
      <c r="D212" s="23" t="n"/>
      <c r="E212" s="21" t="n"/>
      <c r="F212" s="24" t="n"/>
      <c r="G212" s="24" t="n"/>
    </row>
    <row r="213" ht="15.75" customHeight="1">
      <c r="A213" s="20" t="n"/>
      <c r="B213" s="21" t="n"/>
      <c r="C213" s="22">
        <f>IF($B213="","",IFERROR(INDEX(Clienti!$B:$B,MATCH($B213,Clienti!$A:$A,0)),"Codice non trovato"))</f>
        <v/>
      </c>
      <c r="D213" s="23" t="n"/>
      <c r="E213" s="21" t="n"/>
      <c r="F213" s="24" t="n"/>
      <c r="G213" s="24" t="n"/>
    </row>
    <row r="214" ht="15.75" customHeight="1">
      <c r="A214" s="20" t="n"/>
      <c r="B214" s="21" t="n"/>
      <c r="C214" s="22">
        <f>IF($B214="","",IFERROR(INDEX(Clienti!$B:$B,MATCH($B214,Clienti!$A:$A,0)),"Codice non trovato"))</f>
        <v/>
      </c>
      <c r="D214" s="23" t="n"/>
      <c r="E214" s="21" t="n"/>
      <c r="F214" s="24" t="n"/>
      <c r="G214" s="24" t="n"/>
    </row>
    <row r="215" ht="15.75" customHeight="1">
      <c r="A215" s="20" t="n"/>
      <c r="B215" s="21" t="n"/>
      <c r="C215" s="22">
        <f>IF($B215="","",IFERROR(INDEX(Clienti!$B:$B,MATCH($B215,Clienti!$A:$A,0)),"Codice non trovato"))</f>
        <v/>
      </c>
      <c r="D215" s="23" t="n"/>
      <c r="E215" s="21" t="n"/>
      <c r="F215" s="24" t="n"/>
      <c r="G215" s="24" t="n"/>
    </row>
    <row r="216" ht="15.75" customHeight="1">
      <c r="A216" s="20" t="n"/>
      <c r="B216" s="21" t="n"/>
      <c r="C216" s="22">
        <f>IF($B216="","",IFERROR(INDEX(Clienti!$B:$B,MATCH($B216,Clienti!$A:$A,0)),"Codice non trovato"))</f>
        <v/>
      </c>
      <c r="D216" s="23" t="n"/>
      <c r="E216" s="21" t="n"/>
      <c r="F216" s="24" t="n"/>
      <c r="G216" s="24" t="n"/>
    </row>
    <row r="217" ht="15.75" customHeight="1">
      <c r="A217" s="20" t="n"/>
      <c r="B217" s="21" t="n"/>
      <c r="C217" s="22">
        <f>IF($B217="","",IFERROR(INDEX(Clienti!$B:$B,MATCH($B217,Clienti!$A:$A,0)),"Codice non trovato"))</f>
        <v/>
      </c>
      <c r="D217" s="23" t="n"/>
      <c r="E217" s="21" t="n"/>
      <c r="F217" s="24" t="n"/>
      <c r="G217" s="24" t="n"/>
    </row>
    <row r="218" ht="15.75" customHeight="1">
      <c r="A218" s="20" t="n"/>
      <c r="B218" s="21" t="n"/>
      <c r="C218" s="22">
        <f>IF($B218="","",IFERROR(INDEX(Clienti!$B:$B,MATCH($B218,Clienti!$A:$A,0)),"Codice non trovato"))</f>
        <v/>
      </c>
      <c r="D218" s="23" t="n"/>
      <c r="E218" s="21" t="n"/>
      <c r="F218" s="24" t="n"/>
      <c r="G218" s="24" t="n"/>
    </row>
    <row r="219" ht="15.75" customHeight="1">
      <c r="A219" s="20" t="n"/>
      <c r="B219" s="21" t="n"/>
      <c r="C219" s="22">
        <f>IF($B219="","",IFERROR(INDEX(Clienti!$B:$B,MATCH($B219,Clienti!$A:$A,0)),"Codice non trovato"))</f>
        <v/>
      </c>
      <c r="D219" s="23" t="n"/>
      <c r="E219" s="21" t="n"/>
      <c r="F219" s="24" t="n"/>
      <c r="G219" s="24" t="n"/>
    </row>
    <row r="220" ht="15.75" customHeight="1">
      <c r="A220" s="20" t="n"/>
      <c r="B220" s="21" t="n"/>
      <c r="C220" s="22">
        <f>IF($B220="","",IFERROR(INDEX(Clienti!$B:$B,MATCH($B220,Clienti!$A:$A,0)),"Codice non trovato"))</f>
        <v/>
      </c>
      <c r="D220" s="23" t="n"/>
      <c r="E220" s="21" t="n"/>
      <c r="F220" s="24" t="n"/>
      <c r="G220" s="24" t="n"/>
    </row>
    <row r="221" ht="15.75" customHeight="1">
      <c r="A221" s="20" t="n"/>
      <c r="B221" s="21" t="n"/>
      <c r="C221" s="22">
        <f>IF($B221="","",IFERROR(INDEX(Clienti!$B:$B,MATCH($B221,Clienti!$A:$A,0)),"Codice non trovato"))</f>
        <v/>
      </c>
      <c r="D221" s="23" t="n"/>
      <c r="E221" s="21" t="n"/>
      <c r="F221" s="24" t="n"/>
      <c r="G221" s="24" t="n"/>
    </row>
    <row r="222" ht="15.75" customHeight="1">
      <c r="A222" s="20" t="n"/>
      <c r="B222" s="21" t="n"/>
      <c r="C222" s="22">
        <f>IF($B222="","",IFERROR(INDEX(Clienti!$B:$B,MATCH($B222,Clienti!$A:$A,0)),"Codice non trovato"))</f>
        <v/>
      </c>
      <c r="D222" s="23" t="n"/>
      <c r="E222" s="21" t="n"/>
      <c r="F222" s="24" t="n"/>
      <c r="G222" s="24" t="n"/>
    </row>
    <row r="223" ht="15.75" customHeight="1">
      <c r="A223" s="20" t="n"/>
      <c r="B223" s="21" t="n"/>
      <c r="C223" s="22">
        <f>IF($B223="","",IFERROR(INDEX(Clienti!$B:$B,MATCH($B223,Clienti!$A:$A,0)),"Codice non trovato"))</f>
        <v/>
      </c>
      <c r="D223" s="23" t="n"/>
      <c r="E223" s="21" t="n"/>
      <c r="F223" s="24" t="n"/>
      <c r="G223" s="24" t="n"/>
    </row>
    <row r="224" ht="15.75" customHeight="1">
      <c r="A224" s="20" t="n"/>
      <c r="B224" s="21" t="n"/>
      <c r="C224" s="22">
        <f>IF($B224="","",IFERROR(INDEX(Clienti!$B:$B,MATCH($B224,Clienti!$A:$A,0)),"Codice non trovato"))</f>
        <v/>
      </c>
      <c r="D224" s="23" t="n"/>
      <c r="E224" s="21" t="n"/>
      <c r="F224" s="24" t="n"/>
      <c r="G224" s="24" t="n"/>
    </row>
    <row r="225" ht="15.75" customHeight="1">
      <c r="A225" s="20" t="n"/>
      <c r="B225" s="21" t="n"/>
      <c r="C225" s="22">
        <f>IF($B225="","",IFERROR(INDEX(Clienti!$B:$B,MATCH($B225,Clienti!$A:$A,0)),"Codice non trovato"))</f>
        <v/>
      </c>
      <c r="D225" s="23" t="n"/>
      <c r="E225" s="21" t="n"/>
      <c r="F225" s="24" t="n"/>
      <c r="G225" s="24" t="n"/>
    </row>
    <row r="226" ht="15.75" customHeight="1">
      <c r="A226" s="20" t="n"/>
      <c r="B226" s="21" t="n"/>
      <c r="C226" s="22">
        <f>IF($B226="","",IFERROR(INDEX(Clienti!$B:$B,MATCH($B226,Clienti!$A:$A,0)),"Codice non trovato"))</f>
        <v/>
      </c>
      <c r="D226" s="23" t="n"/>
      <c r="E226" s="21" t="n"/>
      <c r="F226" s="24" t="n"/>
      <c r="G226" s="24" t="n"/>
    </row>
    <row r="227" ht="15.75" customHeight="1">
      <c r="A227" s="20" t="n"/>
      <c r="B227" s="21" t="n"/>
      <c r="C227" s="22">
        <f>IF($B227="","",IFERROR(INDEX(Clienti!$B:$B,MATCH($B227,Clienti!$A:$A,0)),"Codice non trovato"))</f>
        <v/>
      </c>
      <c r="D227" s="23" t="n"/>
      <c r="E227" s="21" t="n"/>
      <c r="F227" s="24" t="n"/>
      <c r="G227" s="24" t="n"/>
    </row>
    <row r="228" ht="15.75" customHeight="1">
      <c r="A228" s="20" t="n"/>
      <c r="B228" s="21" t="n"/>
      <c r="C228" s="22">
        <f>IF($B228="","",IFERROR(INDEX(Clienti!$B:$B,MATCH($B228,Clienti!$A:$A,0)),"Codice non trovato"))</f>
        <v/>
      </c>
      <c r="D228" s="23" t="n"/>
      <c r="E228" s="21" t="n"/>
      <c r="F228" s="24" t="n"/>
      <c r="G228" s="24" t="n"/>
    </row>
    <row r="229" ht="15.75" customHeight="1">
      <c r="A229" s="20" t="n"/>
      <c r="B229" s="21" t="n"/>
      <c r="C229" s="22">
        <f>IF($B229="","",IFERROR(INDEX(Clienti!$B:$B,MATCH($B229,Clienti!$A:$A,0)),"Codice non trovato"))</f>
        <v/>
      </c>
      <c r="D229" s="23" t="n"/>
      <c r="E229" s="21" t="n"/>
      <c r="F229" s="24" t="n"/>
      <c r="G229" s="24" t="n"/>
    </row>
    <row r="230" ht="15.75" customHeight="1">
      <c r="A230" s="20" t="n"/>
      <c r="B230" s="21" t="n"/>
      <c r="C230" s="22">
        <f>IF($B230="","",IFERROR(INDEX(Clienti!$B:$B,MATCH($B230,Clienti!$A:$A,0)),"Codice non trovato"))</f>
        <v/>
      </c>
      <c r="D230" s="23" t="n"/>
      <c r="E230" s="21" t="n"/>
      <c r="F230" s="24" t="n"/>
      <c r="G230" s="24" t="n"/>
    </row>
    <row r="231" ht="15.75" customHeight="1">
      <c r="A231" s="20" t="n"/>
      <c r="B231" s="21" t="n"/>
      <c r="C231" s="22">
        <f>IF($B231="","",IFERROR(INDEX(Clienti!$B:$B,MATCH($B231,Clienti!$A:$A,0)),"Codice non trovato"))</f>
        <v/>
      </c>
      <c r="D231" s="23" t="n"/>
      <c r="E231" s="21" t="n"/>
      <c r="F231" s="24" t="n"/>
      <c r="G231" s="24" t="n"/>
    </row>
    <row r="232" ht="15.75" customHeight="1">
      <c r="A232" s="20" t="n"/>
      <c r="B232" s="21" t="n"/>
      <c r="C232" s="22">
        <f>IF($B232="","",IFERROR(INDEX(Clienti!$B:$B,MATCH($B232,Clienti!$A:$A,0)),"Codice non trovato"))</f>
        <v/>
      </c>
      <c r="D232" s="23" t="n"/>
      <c r="E232" s="21" t="n"/>
      <c r="F232" s="24" t="n"/>
      <c r="G232" s="24" t="n"/>
    </row>
    <row r="233" ht="15.75" customHeight="1">
      <c r="A233" s="20" t="n"/>
      <c r="B233" s="21" t="n"/>
      <c r="C233" s="22">
        <f>IF($B233="","",IFERROR(INDEX(Clienti!$B:$B,MATCH($B233,Clienti!$A:$A,0)),"Codice non trovato"))</f>
        <v/>
      </c>
      <c r="D233" s="23" t="n"/>
      <c r="E233" s="21" t="n"/>
      <c r="F233" s="24" t="n"/>
      <c r="G233" s="24" t="n"/>
    </row>
    <row r="234" ht="15.75" customHeight="1">
      <c r="A234" s="20" t="n"/>
      <c r="B234" s="21" t="n"/>
      <c r="C234" s="22">
        <f>IF($B234="","",IFERROR(INDEX(Clienti!$B:$B,MATCH($B234,Clienti!$A:$A,0)),"Codice non trovato"))</f>
        <v/>
      </c>
      <c r="D234" s="23" t="n"/>
      <c r="E234" s="21" t="n"/>
      <c r="F234" s="24" t="n"/>
      <c r="G234" s="24" t="n"/>
    </row>
    <row r="235" ht="15.75" customHeight="1">
      <c r="A235" s="20" t="n"/>
      <c r="B235" s="21" t="n"/>
      <c r="C235" s="22">
        <f>IF($B235="","",IFERROR(INDEX(Clienti!$B:$B,MATCH($B235,Clienti!$A:$A,0)),"Codice non trovato"))</f>
        <v/>
      </c>
      <c r="D235" s="23" t="n"/>
      <c r="E235" s="21" t="n"/>
      <c r="F235" s="24" t="n"/>
      <c r="G235" s="24" t="n"/>
    </row>
    <row r="236" ht="15.75" customHeight="1">
      <c r="A236" s="20" t="n"/>
      <c r="B236" s="21" t="n"/>
      <c r="C236" s="22">
        <f>IF($B236="","",IFERROR(INDEX(Clienti!$B:$B,MATCH($B236,Clienti!$A:$A,0)),"Codice non trovato"))</f>
        <v/>
      </c>
      <c r="D236" s="23" t="n"/>
      <c r="E236" s="21" t="n"/>
      <c r="F236" s="24" t="n"/>
      <c r="G236" s="24" t="n"/>
    </row>
    <row r="237" ht="15.75" customHeight="1">
      <c r="A237" s="20" t="n"/>
      <c r="B237" s="21" t="n"/>
      <c r="C237" s="22">
        <f>IF($B237="","",IFERROR(INDEX(Clienti!$B:$B,MATCH($B237,Clienti!$A:$A,0)),"Codice non trovato"))</f>
        <v/>
      </c>
      <c r="D237" s="23" t="n"/>
      <c r="E237" s="21" t="n"/>
      <c r="F237" s="24" t="n"/>
      <c r="G237" s="24" t="n"/>
    </row>
    <row r="238" ht="15.75" customHeight="1">
      <c r="A238" s="20" t="n"/>
      <c r="B238" s="21" t="n"/>
      <c r="C238" s="22">
        <f>IF($B238="","",IFERROR(INDEX(Clienti!$B:$B,MATCH($B238,Clienti!$A:$A,0)),"Codice non trovato"))</f>
        <v/>
      </c>
      <c r="D238" s="23" t="n"/>
      <c r="E238" s="21" t="n"/>
      <c r="F238" s="24" t="n"/>
      <c r="G238" s="24" t="n"/>
    </row>
    <row r="239" ht="15.75" customHeight="1">
      <c r="A239" s="20" t="n"/>
      <c r="B239" s="21" t="n"/>
      <c r="C239" s="22">
        <f>IF($B239="","",IFERROR(INDEX(Clienti!$B:$B,MATCH($B239,Clienti!$A:$A,0)),"Codice non trovato"))</f>
        <v/>
      </c>
      <c r="D239" s="23" t="n"/>
      <c r="E239" s="21" t="n"/>
      <c r="F239" s="24" t="n"/>
      <c r="G239" s="24" t="n"/>
    </row>
    <row r="240" ht="15.75" customHeight="1">
      <c r="A240" s="20" t="n"/>
      <c r="B240" s="21" t="n"/>
      <c r="C240" s="22">
        <f>IF($B240="","",IFERROR(INDEX(Clienti!$B:$B,MATCH($B240,Clienti!$A:$A,0)),"Codice non trovato"))</f>
        <v/>
      </c>
      <c r="D240" s="23" t="n"/>
      <c r="E240" s="21" t="n"/>
      <c r="F240" s="24" t="n"/>
      <c r="G240" s="24" t="n"/>
    </row>
    <row r="241" ht="15.75" customHeight="1">
      <c r="A241" s="20" t="n"/>
      <c r="B241" s="21" t="n"/>
      <c r="C241" s="22">
        <f>IF($B241="","",IFERROR(INDEX(Clienti!$B:$B,MATCH($B241,Clienti!$A:$A,0)),"Codice non trovato"))</f>
        <v/>
      </c>
      <c r="D241" s="23" t="n"/>
      <c r="E241" s="21" t="n"/>
      <c r="F241" s="24" t="n"/>
      <c r="G241" s="24" t="n"/>
    </row>
    <row r="242" ht="15.75" customHeight="1">
      <c r="A242" s="20" t="n"/>
      <c r="B242" s="21" t="n"/>
      <c r="C242" s="22">
        <f>IF($B242="","",IFERROR(INDEX(Clienti!$B:$B,MATCH($B242,Clienti!$A:$A,0)),"Codice non trovato"))</f>
        <v/>
      </c>
      <c r="D242" s="23" t="n"/>
      <c r="E242" s="21" t="n"/>
      <c r="F242" s="24" t="n"/>
      <c r="G242" s="24" t="n"/>
    </row>
    <row r="243" ht="15.75" customHeight="1">
      <c r="A243" s="20" t="n"/>
      <c r="B243" s="21" t="n"/>
      <c r="C243" s="22">
        <f>IF($B243="","",IFERROR(INDEX(Clienti!$B:$B,MATCH($B243,Clienti!$A:$A,0)),"Codice non trovato"))</f>
        <v/>
      </c>
      <c r="D243" s="23" t="n"/>
      <c r="E243" s="21" t="n"/>
      <c r="F243" s="24" t="n"/>
      <c r="G243" s="24" t="n"/>
    </row>
    <row r="244" ht="15.75" customHeight="1">
      <c r="A244" s="20" t="n"/>
      <c r="B244" s="21" t="n"/>
      <c r="C244" s="22">
        <f>IF($B244="","",IFERROR(INDEX(Clienti!$B:$B,MATCH($B244,Clienti!$A:$A,0)),"Codice non trovato"))</f>
        <v/>
      </c>
      <c r="D244" s="23" t="n"/>
      <c r="E244" s="21" t="n"/>
      <c r="F244" s="24" t="n"/>
      <c r="G244" s="24" t="n"/>
    </row>
    <row r="245" ht="15.75" customHeight="1">
      <c r="A245" s="20" t="n"/>
      <c r="B245" s="21" t="n"/>
      <c r="C245" s="22">
        <f>IF($B245="","",IFERROR(INDEX(Clienti!$B:$B,MATCH($B245,Clienti!$A:$A,0)),"Codice non trovato"))</f>
        <v/>
      </c>
      <c r="D245" s="23" t="n"/>
      <c r="E245" s="21" t="n"/>
      <c r="F245" s="24" t="n"/>
      <c r="G245" s="24" t="n"/>
    </row>
    <row r="246" ht="15.75" customHeight="1">
      <c r="A246" s="20" t="n"/>
      <c r="B246" s="21" t="n"/>
      <c r="C246" s="22">
        <f>IF($B246="","",IFERROR(INDEX(Clienti!$B:$B,MATCH($B246,Clienti!$A:$A,0)),"Codice non trovato"))</f>
        <v/>
      </c>
      <c r="D246" s="23" t="n"/>
      <c r="E246" s="21" t="n"/>
      <c r="F246" s="24" t="n"/>
      <c r="G246" s="24" t="n"/>
    </row>
    <row r="247" ht="15.75" customHeight="1">
      <c r="A247" s="20" t="n"/>
      <c r="B247" s="21" t="n"/>
      <c r="C247" s="22">
        <f>IF($B247="","",IFERROR(INDEX(Clienti!$B:$B,MATCH($B247,Clienti!$A:$A,0)),"Codice non trovato"))</f>
        <v/>
      </c>
      <c r="D247" s="23" t="n"/>
      <c r="E247" s="21" t="n"/>
      <c r="F247" s="24" t="n"/>
      <c r="G247" s="24" t="n"/>
    </row>
    <row r="248" ht="15.75" customHeight="1">
      <c r="A248" s="20" t="n"/>
      <c r="B248" s="21" t="n"/>
      <c r="C248" s="22">
        <f>IF($B248="","",IFERROR(INDEX(Clienti!$B:$B,MATCH($B248,Clienti!$A:$A,0)),"Codice non trovato"))</f>
        <v/>
      </c>
      <c r="D248" s="23" t="n"/>
      <c r="E248" s="21" t="n"/>
      <c r="F248" s="24" t="n"/>
      <c r="G248" s="24" t="n"/>
    </row>
    <row r="249" ht="15.75" customHeight="1">
      <c r="A249" s="20" t="n"/>
      <c r="B249" s="21" t="n"/>
      <c r="C249" s="22">
        <f>IF($B249="","",IFERROR(INDEX(Clienti!$B:$B,MATCH($B249,Clienti!$A:$A,0)),"Codice non trovato"))</f>
        <v/>
      </c>
      <c r="D249" s="23" t="n"/>
      <c r="E249" s="21" t="n"/>
      <c r="F249" s="24" t="n"/>
      <c r="G249" s="24" t="n"/>
    </row>
    <row r="250" ht="15.75" customHeight="1">
      <c r="A250" s="20" t="n"/>
      <c r="B250" s="21" t="n"/>
      <c r="C250" s="22">
        <f>IF($B250="","",IFERROR(INDEX(Clienti!$B:$B,MATCH($B250,Clienti!$A:$A,0)),"Codice non trovato"))</f>
        <v/>
      </c>
      <c r="D250" s="23" t="n"/>
      <c r="E250" s="21" t="n"/>
      <c r="F250" s="24" t="n"/>
      <c r="G250" s="24" t="n"/>
    </row>
    <row r="251" ht="15.75" customHeight="1">
      <c r="A251" s="20" t="n"/>
      <c r="B251" s="21" t="n"/>
      <c r="C251" s="22">
        <f>IF($B251="","",IFERROR(INDEX(Clienti!$B:$B,MATCH($B251,Clienti!$A:$A,0)),"Codice non trovato"))</f>
        <v/>
      </c>
      <c r="D251" s="23" t="n"/>
      <c r="E251" s="21" t="n"/>
      <c r="F251" s="24" t="n"/>
      <c r="G251" s="24" t="n"/>
    </row>
    <row r="252" ht="15.75" customHeight="1">
      <c r="A252" s="20" t="n"/>
      <c r="B252" s="21" t="n"/>
      <c r="C252" s="22">
        <f>IF($B252="","",IFERROR(INDEX(Clienti!$B:$B,MATCH($B252,Clienti!$A:$A,0)),"Codice non trovato"))</f>
        <v/>
      </c>
      <c r="D252" s="23" t="n"/>
      <c r="E252" s="21" t="n"/>
      <c r="F252" s="24" t="n"/>
      <c r="G252" s="24" t="n"/>
    </row>
    <row r="253" ht="15.75" customHeight="1">
      <c r="A253" s="20" t="n"/>
      <c r="B253" s="21" t="n"/>
      <c r="C253" s="22">
        <f>IF($B253="","",IFERROR(INDEX(Clienti!$B:$B,MATCH($B253,Clienti!$A:$A,0)),"Codice non trovato"))</f>
        <v/>
      </c>
      <c r="D253" s="23" t="n"/>
      <c r="E253" s="21" t="n"/>
      <c r="F253" s="24" t="n"/>
      <c r="G253" s="24" t="n"/>
    </row>
    <row r="254" ht="15.75" customHeight="1">
      <c r="A254" s="20" t="n"/>
      <c r="B254" s="21" t="n"/>
      <c r="C254" s="22">
        <f>IF($B254="","",IFERROR(INDEX(Clienti!$B:$B,MATCH($B254,Clienti!$A:$A,0)),"Codice non trovato"))</f>
        <v/>
      </c>
      <c r="D254" s="23" t="n"/>
      <c r="E254" s="21" t="n"/>
      <c r="F254" s="24" t="n"/>
      <c r="G254" s="24" t="n"/>
    </row>
    <row r="255" ht="15.75" customHeight="1">
      <c r="A255" s="20" t="n"/>
      <c r="B255" s="21" t="n"/>
      <c r="C255" s="22">
        <f>IF($B255="","",IFERROR(INDEX(Clienti!$B:$B,MATCH($B255,Clienti!$A:$A,0)),"Codice non trovato"))</f>
        <v/>
      </c>
      <c r="D255" s="23" t="n"/>
      <c r="E255" s="21" t="n"/>
      <c r="F255" s="24" t="n"/>
      <c r="G255" s="24" t="n"/>
    </row>
    <row r="256" ht="15.75" customHeight="1">
      <c r="A256" s="20" t="n"/>
      <c r="B256" s="21" t="n"/>
      <c r="C256" s="22">
        <f>IF($B256="","",IFERROR(INDEX(Clienti!$B:$B,MATCH($B256,Clienti!$A:$A,0)),"Codice non trovato"))</f>
        <v/>
      </c>
      <c r="D256" s="23" t="n"/>
      <c r="E256" s="21" t="n"/>
      <c r="F256" s="24" t="n"/>
      <c r="G256" s="24" t="n"/>
    </row>
    <row r="257" ht="15.75" customHeight="1">
      <c r="A257" s="20" t="n"/>
      <c r="B257" s="21" t="n"/>
      <c r="C257" s="22">
        <f>IF($B257="","",IFERROR(INDEX(Clienti!$B:$B,MATCH($B257,Clienti!$A:$A,0)),"Codice non trovato"))</f>
        <v/>
      </c>
      <c r="D257" s="23" t="n"/>
      <c r="E257" s="21" t="n"/>
      <c r="F257" s="24" t="n"/>
      <c r="G257" s="24" t="n"/>
    </row>
    <row r="258" ht="15.75" customHeight="1">
      <c r="A258" s="20" t="n"/>
      <c r="B258" s="21" t="n"/>
      <c r="C258" s="22">
        <f>IF($B258="","",IFERROR(INDEX(Clienti!$B:$B,MATCH($B258,Clienti!$A:$A,0)),"Codice non trovato"))</f>
        <v/>
      </c>
      <c r="D258" s="23" t="n"/>
      <c r="E258" s="21" t="n"/>
      <c r="F258" s="24" t="n"/>
      <c r="G258" s="24" t="n"/>
    </row>
    <row r="259" ht="15.75" customHeight="1">
      <c r="A259" s="20" t="n"/>
      <c r="B259" s="21" t="n"/>
      <c r="C259" s="22">
        <f>IF($B259="","",IFERROR(INDEX(Clienti!$B:$B,MATCH($B259,Clienti!$A:$A,0)),"Codice non trovato"))</f>
        <v/>
      </c>
      <c r="D259" s="23" t="n"/>
      <c r="E259" s="21" t="n"/>
      <c r="F259" s="24" t="n"/>
      <c r="G259" s="24" t="n"/>
    </row>
    <row r="260" ht="15.75" customHeight="1">
      <c r="A260" s="20" t="n"/>
      <c r="B260" s="21" t="n"/>
      <c r="C260" s="22">
        <f>IF($B260="","",IFERROR(INDEX(Clienti!$B:$B,MATCH($B260,Clienti!$A:$A,0)),"Codice non trovato"))</f>
        <v/>
      </c>
      <c r="D260" s="23" t="n"/>
      <c r="E260" s="21" t="n"/>
      <c r="F260" s="24" t="n"/>
      <c r="G260" s="24" t="n"/>
    </row>
    <row r="261" ht="15.75" customHeight="1">
      <c r="A261" s="20" t="n"/>
      <c r="B261" s="21" t="n"/>
      <c r="C261" s="22">
        <f>IF($B261="","",IFERROR(INDEX(Clienti!$B:$B,MATCH($B261,Clienti!$A:$A,0)),"Codice non trovato"))</f>
        <v/>
      </c>
      <c r="D261" s="23" t="n"/>
      <c r="E261" s="21" t="n"/>
      <c r="F261" s="24" t="n"/>
      <c r="G261" s="24" t="n"/>
    </row>
    <row r="262" ht="15.75" customHeight="1">
      <c r="A262" s="20" t="n"/>
      <c r="B262" s="21" t="n"/>
      <c r="C262" s="22">
        <f>IF($B262="","",IFERROR(INDEX(Clienti!$B:$B,MATCH($B262,Clienti!$A:$A,0)),"Codice non trovato"))</f>
        <v/>
      </c>
      <c r="D262" s="23" t="n"/>
      <c r="E262" s="21" t="n"/>
      <c r="F262" s="24" t="n"/>
      <c r="G262" s="24" t="n"/>
    </row>
    <row r="263" ht="15.75" customHeight="1">
      <c r="A263" s="20" t="n"/>
      <c r="B263" s="21" t="n"/>
      <c r="C263" s="22">
        <f>IF($B263="","",IFERROR(INDEX(Clienti!$B:$B,MATCH($B263,Clienti!$A:$A,0)),"Codice non trovato"))</f>
        <v/>
      </c>
      <c r="D263" s="23" t="n"/>
      <c r="E263" s="21" t="n"/>
      <c r="F263" s="24" t="n"/>
      <c r="G263" s="24" t="n"/>
    </row>
    <row r="264" ht="15.75" customHeight="1">
      <c r="A264" s="20" t="n"/>
      <c r="B264" s="21" t="n"/>
      <c r="C264" s="22">
        <f>IF($B264="","",IFERROR(INDEX(Clienti!$B:$B,MATCH($B264,Clienti!$A:$A,0)),"Codice non trovato"))</f>
        <v/>
      </c>
      <c r="D264" s="23" t="n"/>
      <c r="E264" s="21" t="n"/>
      <c r="F264" s="24" t="n"/>
      <c r="G264" s="24" t="n"/>
    </row>
    <row r="265" ht="15.75" customHeight="1">
      <c r="A265" s="20" t="n"/>
      <c r="B265" s="21" t="n"/>
      <c r="C265" s="22">
        <f>IF($B265="","",IFERROR(INDEX(Clienti!$B:$B,MATCH($B265,Clienti!$A:$A,0)),"Codice non trovato"))</f>
        <v/>
      </c>
      <c r="D265" s="23" t="n"/>
      <c r="E265" s="21" t="n"/>
      <c r="F265" s="24" t="n"/>
      <c r="G265" s="24" t="n"/>
    </row>
    <row r="266" ht="15.75" customHeight="1">
      <c r="A266" s="20" t="n"/>
      <c r="B266" s="21" t="n"/>
      <c r="C266" s="22">
        <f>IF($B266="","",IFERROR(INDEX(Clienti!$B:$B,MATCH($B266,Clienti!$A:$A,0)),"Codice non trovato"))</f>
        <v/>
      </c>
      <c r="D266" s="23" t="n"/>
      <c r="E266" s="21" t="n"/>
      <c r="F266" s="24" t="n"/>
      <c r="G266" s="24" t="n"/>
    </row>
    <row r="267" ht="15.75" customHeight="1">
      <c r="A267" s="20" t="n"/>
      <c r="B267" s="21" t="n"/>
      <c r="C267" s="22">
        <f>IF($B267="","",IFERROR(INDEX(Clienti!$B:$B,MATCH($B267,Clienti!$A:$A,0)),"Codice non trovato"))</f>
        <v/>
      </c>
      <c r="D267" s="23" t="n"/>
      <c r="E267" s="21" t="n"/>
      <c r="F267" s="24" t="n"/>
      <c r="G267" s="24" t="n"/>
    </row>
    <row r="268" ht="15.75" customHeight="1">
      <c r="A268" s="20" t="n"/>
      <c r="B268" s="21" t="n"/>
      <c r="C268" s="22">
        <f>IF($B268="","",IFERROR(INDEX(Clienti!$B:$B,MATCH($B268,Clienti!$A:$A,0)),"Codice non trovato"))</f>
        <v/>
      </c>
      <c r="D268" s="23" t="n"/>
      <c r="E268" s="21" t="n"/>
      <c r="F268" s="24" t="n"/>
      <c r="G268" s="24" t="n"/>
    </row>
    <row r="269" ht="15.75" customHeight="1">
      <c r="A269" s="20" t="n"/>
      <c r="B269" s="21" t="n"/>
      <c r="C269" s="22">
        <f>IF($B269="","",IFERROR(INDEX(Clienti!$B:$B,MATCH($B269,Clienti!$A:$A,0)),"Codice non trovato"))</f>
        <v/>
      </c>
      <c r="D269" s="23" t="n"/>
      <c r="E269" s="21" t="n"/>
      <c r="F269" s="24" t="n"/>
      <c r="G269" s="24" t="n"/>
    </row>
    <row r="270" ht="15.75" customHeight="1">
      <c r="A270" s="20" t="n"/>
      <c r="B270" s="21" t="n"/>
      <c r="C270" s="22">
        <f>IF($B270="","",IFERROR(INDEX(Clienti!$B:$B,MATCH($B270,Clienti!$A:$A,0)),"Codice non trovato"))</f>
        <v/>
      </c>
      <c r="D270" s="23" t="n"/>
      <c r="E270" s="21" t="n"/>
      <c r="F270" s="24" t="n"/>
      <c r="G270" s="24" t="n"/>
    </row>
    <row r="271" ht="15.75" customHeight="1">
      <c r="A271" s="20" t="n"/>
      <c r="B271" s="21" t="n"/>
      <c r="C271" s="22">
        <f>IF($B271="","",IFERROR(INDEX(Clienti!$B:$B,MATCH($B271,Clienti!$A:$A,0)),"Codice non trovato"))</f>
        <v/>
      </c>
      <c r="D271" s="23" t="n"/>
      <c r="E271" s="21" t="n"/>
      <c r="F271" s="24" t="n"/>
      <c r="G271" s="24" t="n"/>
    </row>
    <row r="272" ht="15.75" customHeight="1">
      <c r="A272" s="20" t="n"/>
      <c r="B272" s="21" t="n"/>
      <c r="C272" s="22">
        <f>IF($B272="","",IFERROR(INDEX(Clienti!$B:$B,MATCH($B272,Clienti!$A:$A,0)),"Codice non trovato"))</f>
        <v/>
      </c>
      <c r="D272" s="23" t="n"/>
      <c r="E272" s="21" t="n"/>
      <c r="F272" s="24" t="n"/>
      <c r="G272" s="24" t="n"/>
    </row>
    <row r="273" ht="15.75" customHeight="1">
      <c r="A273" s="20" t="n"/>
      <c r="B273" s="21" t="n"/>
      <c r="C273" s="22">
        <f>IF($B273="","",IFERROR(INDEX(Clienti!$B:$B,MATCH($B273,Clienti!$A:$A,0)),"Codice non trovato"))</f>
        <v/>
      </c>
      <c r="D273" s="23" t="n"/>
      <c r="E273" s="21" t="n"/>
      <c r="F273" s="24" t="n"/>
      <c r="G273" s="24" t="n"/>
    </row>
    <row r="274" ht="15.75" customHeight="1">
      <c r="A274" s="20" t="n"/>
      <c r="B274" s="21" t="n"/>
      <c r="C274" s="22">
        <f>IF($B274="","",IFERROR(INDEX(Clienti!$B:$B,MATCH($B274,Clienti!$A:$A,0)),"Codice non trovato"))</f>
        <v/>
      </c>
      <c r="D274" s="23" t="n"/>
      <c r="E274" s="21" t="n"/>
      <c r="F274" s="24" t="n"/>
      <c r="G274" s="24" t="n"/>
    </row>
    <row r="275" ht="15.75" customHeight="1">
      <c r="A275" s="20" t="n"/>
      <c r="B275" s="21" t="n"/>
      <c r="C275" s="22">
        <f>IF($B275="","",IFERROR(INDEX(Clienti!$B:$B,MATCH($B275,Clienti!$A:$A,0)),"Codice non trovato"))</f>
        <v/>
      </c>
      <c r="D275" s="23" t="n"/>
      <c r="E275" s="21" t="n"/>
      <c r="F275" s="24" t="n"/>
      <c r="G275" s="24" t="n"/>
    </row>
    <row r="276" ht="15.75" customHeight="1">
      <c r="A276" s="20" t="n"/>
      <c r="B276" s="21" t="n"/>
      <c r="C276" s="22">
        <f>IF($B276="","",IFERROR(INDEX(Clienti!$B:$B,MATCH($B276,Clienti!$A:$A,0)),"Codice non trovato"))</f>
        <v/>
      </c>
      <c r="D276" s="23" t="n"/>
      <c r="E276" s="21" t="n"/>
      <c r="F276" s="24" t="n"/>
      <c r="G276" s="24" t="n"/>
    </row>
    <row r="277" ht="15.75" customHeight="1">
      <c r="A277" s="20" t="n"/>
      <c r="B277" s="21" t="n"/>
      <c r="C277" s="22">
        <f>IF($B277="","",IFERROR(INDEX(Clienti!$B:$B,MATCH($B277,Clienti!$A:$A,0)),"Codice non trovato"))</f>
        <v/>
      </c>
      <c r="D277" s="23" t="n"/>
      <c r="E277" s="21" t="n"/>
      <c r="F277" s="24" t="n"/>
      <c r="G277" s="24" t="n"/>
    </row>
    <row r="278" ht="15.75" customHeight="1">
      <c r="A278" s="20" t="n"/>
      <c r="B278" s="21" t="n"/>
      <c r="C278" s="22">
        <f>IF($B278="","",IFERROR(INDEX(Clienti!$B:$B,MATCH($B278,Clienti!$A:$A,0)),"Codice non trovato"))</f>
        <v/>
      </c>
      <c r="D278" s="23" t="n"/>
      <c r="E278" s="21" t="n"/>
      <c r="F278" s="24" t="n"/>
      <c r="G278" s="24" t="n"/>
    </row>
    <row r="279" ht="15.75" customHeight="1">
      <c r="A279" s="20" t="n"/>
      <c r="B279" s="21" t="n"/>
      <c r="C279" s="22">
        <f>IF($B279="","",IFERROR(INDEX(Clienti!$B:$B,MATCH($B279,Clienti!$A:$A,0)),"Codice non trovato"))</f>
        <v/>
      </c>
      <c r="D279" s="23" t="n"/>
      <c r="E279" s="21" t="n"/>
      <c r="F279" s="24" t="n"/>
      <c r="G279" s="24" t="n"/>
    </row>
    <row r="280" ht="15.75" customHeight="1">
      <c r="A280" s="20" t="n"/>
      <c r="B280" s="21" t="n"/>
      <c r="C280" s="22">
        <f>IF($B280="","",IFERROR(INDEX(Clienti!$B:$B,MATCH($B280,Clienti!$A:$A,0)),"Codice non trovato"))</f>
        <v/>
      </c>
      <c r="D280" s="23" t="n"/>
      <c r="E280" s="21" t="n"/>
      <c r="F280" s="24" t="n"/>
      <c r="G280" s="24" t="n"/>
    </row>
    <row r="281" ht="15.75" customHeight="1">
      <c r="A281" s="20" t="n"/>
      <c r="B281" s="21" t="n"/>
      <c r="C281" s="22">
        <f>IF($B281="","",IFERROR(INDEX(Clienti!$B:$B,MATCH($B281,Clienti!$A:$A,0)),"Codice non trovato"))</f>
        <v/>
      </c>
      <c r="D281" s="23" t="n"/>
      <c r="E281" s="21" t="n"/>
      <c r="F281" s="24" t="n"/>
      <c r="G281" s="24" t="n"/>
    </row>
    <row r="282" ht="15.75" customHeight="1">
      <c r="A282" s="20" t="n"/>
      <c r="B282" s="21" t="n"/>
      <c r="C282" s="22">
        <f>IF($B282="","",IFERROR(INDEX(Clienti!$B:$B,MATCH($B282,Clienti!$A:$A,0)),"Codice non trovato"))</f>
        <v/>
      </c>
      <c r="D282" s="23" t="n"/>
      <c r="E282" s="21" t="n"/>
      <c r="F282" s="24" t="n"/>
      <c r="G282" s="24" t="n"/>
    </row>
    <row r="283" ht="15.75" customHeight="1">
      <c r="A283" s="20" t="n"/>
      <c r="B283" s="21" t="n"/>
      <c r="C283" s="22">
        <f>IF($B283="","",IFERROR(INDEX(Clienti!$B:$B,MATCH($B283,Clienti!$A:$A,0)),"Codice non trovato"))</f>
        <v/>
      </c>
      <c r="D283" s="23" t="n"/>
      <c r="E283" s="21" t="n"/>
      <c r="F283" s="24" t="n"/>
      <c r="G283" s="24" t="n"/>
    </row>
    <row r="284" ht="15.75" customHeight="1">
      <c r="A284" s="20" t="n"/>
      <c r="B284" s="21" t="n"/>
      <c r="C284" s="22">
        <f>IF($B284="","",IFERROR(INDEX(Clienti!$B:$B,MATCH($B284,Clienti!$A:$A,0)),"Codice non trovato"))</f>
        <v/>
      </c>
      <c r="D284" s="23" t="n"/>
      <c r="E284" s="21" t="n"/>
      <c r="F284" s="24" t="n"/>
      <c r="G284" s="24" t="n"/>
    </row>
    <row r="285" ht="15.75" customHeight="1">
      <c r="A285" s="20" t="n"/>
      <c r="B285" s="21" t="n"/>
      <c r="C285" s="22">
        <f>IF($B285="","",IFERROR(INDEX(Clienti!$B:$B,MATCH($B285,Clienti!$A:$A,0)),"Codice non trovato"))</f>
        <v/>
      </c>
      <c r="D285" s="23" t="n"/>
      <c r="E285" s="21" t="n"/>
      <c r="F285" s="24" t="n"/>
      <c r="G285" s="24" t="n"/>
    </row>
    <row r="286" ht="15.75" customHeight="1">
      <c r="A286" s="20" t="n"/>
      <c r="B286" s="21" t="n"/>
      <c r="C286" s="22">
        <f>IF($B286="","",IFERROR(INDEX(Clienti!$B:$B,MATCH($B286,Clienti!$A:$A,0)),"Codice non trovato"))</f>
        <v/>
      </c>
      <c r="D286" s="23" t="n"/>
      <c r="E286" s="21" t="n"/>
      <c r="F286" s="24" t="n"/>
      <c r="G286" s="24" t="n"/>
    </row>
    <row r="287" ht="15.75" customHeight="1">
      <c r="A287" s="20" t="n"/>
      <c r="B287" s="21" t="n"/>
      <c r="C287" s="22">
        <f>IF($B287="","",IFERROR(INDEX(Clienti!$B:$B,MATCH($B287,Clienti!$A:$A,0)),"Codice non trovato"))</f>
        <v/>
      </c>
      <c r="D287" s="23" t="n"/>
      <c r="E287" s="21" t="n"/>
      <c r="F287" s="24" t="n"/>
      <c r="G287" s="24" t="n"/>
    </row>
    <row r="288" ht="15.75" customHeight="1">
      <c r="A288" s="20" t="n"/>
      <c r="B288" s="21" t="n"/>
      <c r="C288" s="22">
        <f>IF($B288="","",IFERROR(INDEX(Clienti!$B:$B,MATCH($B288,Clienti!$A:$A,0)),"Codice non trovato"))</f>
        <v/>
      </c>
      <c r="D288" s="23" t="n"/>
      <c r="E288" s="21" t="n"/>
      <c r="F288" s="24" t="n"/>
      <c r="G288" s="24" t="n"/>
    </row>
    <row r="289" ht="15.75" customHeight="1">
      <c r="A289" s="20" t="n"/>
      <c r="B289" s="21" t="n"/>
      <c r="C289" s="22">
        <f>IF($B289="","",IFERROR(INDEX(Clienti!$B:$B,MATCH($B289,Clienti!$A:$A,0)),"Codice non trovato"))</f>
        <v/>
      </c>
      <c r="D289" s="23" t="n"/>
      <c r="E289" s="21" t="n"/>
      <c r="F289" s="24" t="n"/>
      <c r="G289" s="24" t="n"/>
    </row>
    <row r="290" ht="15.75" customHeight="1">
      <c r="A290" s="20" t="n"/>
      <c r="B290" s="21" t="n"/>
      <c r="C290" s="22">
        <f>IF($B290="","",IFERROR(INDEX(Clienti!$B:$B,MATCH($B290,Clienti!$A:$A,0)),"Codice non trovato"))</f>
        <v/>
      </c>
      <c r="D290" s="23" t="n"/>
      <c r="E290" s="21" t="n"/>
      <c r="F290" s="24" t="n"/>
      <c r="G290" s="24" t="n"/>
    </row>
    <row r="291" ht="15.75" customHeight="1">
      <c r="A291" s="20" t="n"/>
      <c r="B291" s="21" t="n"/>
      <c r="C291" s="22">
        <f>IF($B291="","",IFERROR(INDEX(Clienti!$B:$B,MATCH($B291,Clienti!$A:$A,0)),"Codice non trovato"))</f>
        <v/>
      </c>
      <c r="D291" s="23" t="n"/>
      <c r="E291" s="21" t="n"/>
      <c r="F291" s="24" t="n"/>
      <c r="G291" s="24" t="n"/>
    </row>
    <row r="292" ht="15.75" customHeight="1">
      <c r="A292" s="20" t="n"/>
      <c r="B292" s="21" t="n"/>
      <c r="C292" s="22">
        <f>IF($B292="","",IFERROR(INDEX(Clienti!$B:$B,MATCH($B292,Clienti!$A:$A,0)),"Codice non trovato"))</f>
        <v/>
      </c>
      <c r="D292" s="23" t="n"/>
      <c r="E292" s="21" t="n"/>
      <c r="F292" s="24" t="n"/>
      <c r="G292" s="24" t="n"/>
    </row>
    <row r="293" ht="15.75" customHeight="1">
      <c r="A293" s="20" t="n"/>
      <c r="B293" s="21" t="n"/>
      <c r="C293" s="22">
        <f>IF($B293="","",IFERROR(INDEX(Clienti!$B:$B,MATCH($B293,Clienti!$A:$A,0)),"Codice non trovato"))</f>
        <v/>
      </c>
      <c r="D293" s="23" t="n"/>
      <c r="E293" s="21" t="n"/>
      <c r="F293" s="24" t="n"/>
      <c r="G293" s="24" t="n"/>
    </row>
    <row r="294" ht="15.75" customHeight="1">
      <c r="A294" s="20" t="n"/>
      <c r="B294" s="21" t="n"/>
      <c r="C294" s="22">
        <f>IF($B294="","",IFERROR(INDEX(Clienti!$B:$B,MATCH($B294,Clienti!$A:$A,0)),"Codice non trovato"))</f>
        <v/>
      </c>
      <c r="D294" s="23" t="n"/>
      <c r="E294" s="21" t="n"/>
      <c r="F294" s="24" t="n"/>
      <c r="G294" s="24" t="n"/>
    </row>
    <row r="295" ht="15.75" customHeight="1">
      <c r="A295" s="20" t="n"/>
      <c r="B295" s="21" t="n"/>
      <c r="C295" s="22">
        <f>IF($B295="","",IFERROR(INDEX(Clienti!$B:$B,MATCH($B295,Clienti!$A:$A,0)),"Codice non trovato"))</f>
        <v/>
      </c>
      <c r="D295" s="23" t="n"/>
      <c r="E295" s="21" t="n"/>
      <c r="F295" s="24" t="n"/>
      <c r="G295" s="24" t="n"/>
    </row>
    <row r="296" ht="15.75" customHeight="1">
      <c r="A296" s="20" t="n"/>
      <c r="B296" s="21" t="n"/>
      <c r="C296" s="22">
        <f>IF($B296="","",IFERROR(INDEX(Clienti!$B:$B,MATCH($B296,Clienti!$A:$A,0)),"Codice non trovato"))</f>
        <v/>
      </c>
      <c r="D296" s="23" t="n"/>
      <c r="E296" s="21" t="n"/>
      <c r="F296" s="24" t="n"/>
      <c r="G296" s="24" t="n"/>
    </row>
    <row r="297" ht="15.75" customHeight="1">
      <c r="A297" s="20" t="n"/>
      <c r="B297" s="21" t="n"/>
      <c r="C297" s="22">
        <f>IF($B297="","",IFERROR(INDEX(Clienti!$B:$B,MATCH($B297,Clienti!$A:$A,0)),"Codice non trovato"))</f>
        <v/>
      </c>
      <c r="D297" s="23" t="n"/>
      <c r="E297" s="21" t="n"/>
      <c r="F297" s="24" t="n"/>
      <c r="G297" s="24" t="n"/>
    </row>
    <row r="298" ht="15.75" customHeight="1">
      <c r="A298" s="20" t="n"/>
      <c r="B298" s="21" t="n"/>
      <c r="C298" s="22">
        <f>IF($B298="","",IFERROR(INDEX(Clienti!$B:$B,MATCH($B298,Clienti!$A:$A,0)),"Codice non trovato"))</f>
        <v/>
      </c>
      <c r="D298" s="23" t="n"/>
      <c r="E298" s="21" t="n"/>
      <c r="F298" s="24" t="n"/>
      <c r="G298" s="24" t="n"/>
    </row>
    <row r="299" ht="15.75" customHeight="1">
      <c r="A299" s="20" t="n"/>
      <c r="B299" s="21" t="n"/>
      <c r="C299" s="22">
        <f>IF($B299="","",IFERROR(INDEX(Clienti!$B:$B,MATCH($B299,Clienti!$A:$A,0)),"Codice non trovato"))</f>
        <v/>
      </c>
      <c r="D299" s="23" t="n"/>
      <c r="E299" s="21" t="n"/>
      <c r="F299" s="24" t="n"/>
      <c r="G299" s="24" t="n"/>
    </row>
    <row r="300" ht="15.75" customHeight="1">
      <c r="A300" s="20" t="n"/>
      <c r="B300" s="21" t="n"/>
      <c r="C300" s="22">
        <f>IF($B300="","",IFERROR(INDEX(Clienti!$B:$B,MATCH($B300,Clienti!$A:$A,0)),"Codice non trovato"))</f>
        <v/>
      </c>
      <c r="D300" s="23" t="n"/>
      <c r="E300" s="21" t="n"/>
      <c r="F300" s="24" t="n"/>
      <c r="G300" s="24" t="n"/>
    </row>
    <row r="301" ht="15.75" customHeight="1">
      <c r="A301" s="20" t="n"/>
      <c r="B301" s="21" t="n"/>
      <c r="C301" s="22">
        <f>IF($B301="","",IFERROR(INDEX(Clienti!$B:$B,MATCH($B301,Clienti!$A:$A,0)),"Codice non trovato"))</f>
        <v/>
      </c>
      <c r="D301" s="23" t="n"/>
      <c r="E301" s="21" t="n"/>
      <c r="F301" s="24" t="n"/>
      <c r="G301" s="24" t="n"/>
    </row>
    <row r="302" ht="15.75" customHeight="1">
      <c r="A302" s="20" t="n"/>
      <c r="B302" s="21" t="n"/>
      <c r="C302" s="22">
        <f>IF($B302="","",IFERROR(INDEX(Clienti!$B:$B,MATCH($B302,Clienti!$A:$A,0)),"Codice non trovato"))</f>
        <v/>
      </c>
      <c r="D302" s="23" t="n"/>
      <c r="E302" s="21" t="n"/>
      <c r="F302" s="24" t="n"/>
      <c r="G302" s="24" t="n"/>
    </row>
    <row r="303" ht="15.75" customHeight="1">
      <c r="A303" s="20" t="n"/>
      <c r="B303" s="21" t="n"/>
      <c r="C303" s="22">
        <f>IF($B303="","",IFERROR(INDEX(Clienti!$B:$B,MATCH($B303,Clienti!$A:$A,0)),"Codice non trovato"))</f>
        <v/>
      </c>
      <c r="D303" s="23" t="n"/>
      <c r="E303" s="21" t="n"/>
      <c r="F303" s="24" t="n"/>
      <c r="G303" s="24" t="n"/>
    </row>
    <row r="304" ht="15.75" customHeight="1">
      <c r="A304" s="20" t="n"/>
      <c r="B304" s="21" t="n"/>
      <c r="C304" s="22">
        <f>IF($B304="","",IFERROR(INDEX(Clienti!$B:$B,MATCH($B304,Clienti!$A:$A,0)),"Codice non trovato"))</f>
        <v/>
      </c>
      <c r="D304" s="23" t="n"/>
      <c r="E304" s="21" t="n"/>
      <c r="F304" s="24" t="n"/>
      <c r="G304" s="24" t="n"/>
    </row>
    <row r="305" ht="15.75" customHeight="1">
      <c r="A305" s="20" t="n"/>
      <c r="B305" s="21" t="n"/>
      <c r="C305" s="22">
        <f>IF($B305="","",IFERROR(INDEX(Clienti!$B:$B,MATCH($B305,Clienti!$A:$A,0)),"Codice non trovato"))</f>
        <v/>
      </c>
      <c r="D305" s="23" t="n"/>
      <c r="E305" s="21" t="n"/>
      <c r="F305" s="24" t="n"/>
      <c r="G305" s="24" t="n"/>
    </row>
    <row r="306" ht="15.75" customHeight="1">
      <c r="A306" s="20" t="n"/>
      <c r="B306" s="21" t="n"/>
      <c r="C306" s="22">
        <f>IF($B306="","",IFERROR(INDEX(Clienti!$B:$B,MATCH($B306,Clienti!$A:$A,0)),"Codice non trovato"))</f>
        <v/>
      </c>
      <c r="D306" s="23" t="n"/>
      <c r="E306" s="21" t="n"/>
      <c r="F306" s="24" t="n"/>
      <c r="G306" s="24" t="n"/>
    </row>
    <row r="307" ht="15.75" customHeight="1">
      <c r="A307" s="20" t="n"/>
      <c r="B307" s="21" t="n"/>
      <c r="C307" s="22">
        <f>IF($B307="","",IFERROR(INDEX(Clienti!$B:$B,MATCH($B307,Clienti!$A:$A,0)),"Codice non trovato"))</f>
        <v/>
      </c>
      <c r="D307" s="23" t="n"/>
      <c r="E307" s="21" t="n"/>
      <c r="F307" s="24" t="n"/>
      <c r="G307" s="24" t="n"/>
    </row>
    <row r="308" ht="15.75" customHeight="1">
      <c r="A308" s="20" t="n"/>
      <c r="B308" s="21" t="n"/>
      <c r="C308" s="22">
        <f>IF($B308="","",IFERROR(INDEX(Clienti!$B:$B,MATCH($B308,Clienti!$A:$A,0)),"Codice non trovato"))</f>
        <v/>
      </c>
      <c r="D308" s="23" t="n"/>
      <c r="E308" s="21" t="n"/>
      <c r="F308" s="24" t="n"/>
      <c r="G308" s="24" t="n"/>
    </row>
    <row r="309" ht="15.75" customHeight="1">
      <c r="A309" s="20" t="n"/>
      <c r="B309" s="21" t="n"/>
      <c r="C309" s="22">
        <f>IF($B309="","",IFERROR(INDEX(Clienti!$B:$B,MATCH($B309,Clienti!$A:$A,0)),"Codice non trovato"))</f>
        <v/>
      </c>
      <c r="D309" s="23" t="n"/>
      <c r="E309" s="21" t="n"/>
      <c r="F309" s="24" t="n"/>
      <c r="G309" s="24" t="n"/>
    </row>
    <row r="310" ht="15.75" customHeight="1">
      <c r="A310" s="20" t="n"/>
      <c r="B310" s="21" t="n"/>
      <c r="C310" s="22">
        <f>IF($B310="","",IFERROR(INDEX(Clienti!$B:$B,MATCH($B310,Clienti!$A:$A,0)),"Codice non trovato"))</f>
        <v/>
      </c>
      <c r="D310" s="23" t="n"/>
      <c r="E310" s="21" t="n"/>
      <c r="F310" s="24" t="n"/>
      <c r="G310" s="24" t="n"/>
    </row>
    <row r="311" ht="15.75" customHeight="1">
      <c r="A311" s="20" t="n"/>
      <c r="B311" s="21" t="n"/>
      <c r="C311" s="22">
        <f>IF($B311="","",IFERROR(INDEX(Clienti!$B:$B,MATCH($B311,Clienti!$A:$A,0)),"Codice non trovato"))</f>
        <v/>
      </c>
      <c r="D311" s="23" t="n"/>
      <c r="E311" s="21" t="n"/>
      <c r="F311" s="24" t="n"/>
      <c r="G311" s="24" t="n"/>
    </row>
    <row r="312" ht="15.75" customHeight="1">
      <c r="A312" s="20" t="n"/>
      <c r="B312" s="21" t="n"/>
      <c r="C312" s="22">
        <f>IF($B312="","",IFERROR(INDEX(Clienti!$B:$B,MATCH($B312,Clienti!$A:$A,0)),"Codice non trovato"))</f>
        <v/>
      </c>
      <c r="D312" s="23" t="n"/>
      <c r="E312" s="21" t="n"/>
      <c r="F312" s="24" t="n"/>
      <c r="G312" s="24" t="n"/>
    </row>
    <row r="313" ht="15.75" customHeight="1">
      <c r="A313" s="20" t="n"/>
      <c r="B313" s="21" t="n"/>
      <c r="C313" s="22">
        <f>IF($B313="","",IFERROR(INDEX(Clienti!$B:$B,MATCH($B313,Clienti!$A:$A,0)),"Codice non trovato"))</f>
        <v/>
      </c>
      <c r="D313" s="23" t="n"/>
      <c r="E313" s="21" t="n"/>
      <c r="F313" s="24" t="n"/>
      <c r="G313" s="24" t="n"/>
    </row>
    <row r="314" ht="15.75" customHeight="1">
      <c r="A314" s="20" t="n"/>
      <c r="B314" s="21" t="n"/>
      <c r="C314" s="22">
        <f>IF($B314="","",IFERROR(INDEX(Clienti!$B:$B,MATCH($B314,Clienti!$A:$A,0)),"Codice non trovato"))</f>
        <v/>
      </c>
      <c r="D314" s="23" t="n"/>
      <c r="E314" s="21" t="n"/>
      <c r="F314" s="24" t="n"/>
      <c r="G314" s="24" t="n"/>
    </row>
    <row r="315" ht="15.75" customHeight="1">
      <c r="A315" s="20" t="n"/>
      <c r="B315" s="21" t="n"/>
      <c r="C315" s="22">
        <f>IF($B315="","",IFERROR(INDEX(Clienti!$B:$B,MATCH($B315,Clienti!$A:$A,0)),"Codice non trovato"))</f>
        <v/>
      </c>
      <c r="D315" s="23" t="n"/>
      <c r="E315" s="21" t="n"/>
      <c r="F315" s="24" t="n"/>
      <c r="G315" s="24" t="n"/>
    </row>
    <row r="316" ht="15.75" customHeight="1">
      <c r="A316" s="20" t="n"/>
      <c r="B316" s="21" t="n"/>
      <c r="C316" s="22">
        <f>IF($B316="","",IFERROR(INDEX(Clienti!$B:$B,MATCH($B316,Clienti!$A:$A,0)),"Codice non trovato"))</f>
        <v/>
      </c>
      <c r="D316" s="23" t="n"/>
      <c r="E316" s="21" t="n"/>
      <c r="F316" s="24" t="n"/>
      <c r="G316" s="24" t="n"/>
    </row>
    <row r="317" ht="15.75" customHeight="1">
      <c r="A317" s="20" t="n"/>
      <c r="B317" s="21" t="n"/>
      <c r="C317" s="22">
        <f>IF($B317="","",IFERROR(INDEX(Clienti!$B:$B,MATCH($B317,Clienti!$A:$A,0)),"Codice non trovato"))</f>
        <v/>
      </c>
      <c r="D317" s="23" t="n"/>
      <c r="E317" s="21" t="n"/>
      <c r="F317" s="24" t="n"/>
      <c r="G317" s="24" t="n"/>
    </row>
    <row r="318" ht="15.75" customHeight="1">
      <c r="A318" s="20" t="n"/>
      <c r="B318" s="21" t="n"/>
      <c r="C318" s="22">
        <f>IF($B318="","",IFERROR(INDEX(Clienti!$B:$B,MATCH($B318,Clienti!$A:$A,0)),"Codice non trovato"))</f>
        <v/>
      </c>
      <c r="D318" s="23" t="n"/>
      <c r="E318" s="21" t="n"/>
      <c r="F318" s="24" t="n"/>
      <c r="G318" s="24" t="n"/>
    </row>
    <row r="319" ht="15.75" customHeight="1">
      <c r="A319" s="20" t="n"/>
      <c r="B319" s="21" t="n"/>
      <c r="C319" s="22">
        <f>IF($B319="","",IFERROR(INDEX(Clienti!$B:$B,MATCH($B319,Clienti!$A:$A,0)),"Codice non trovato"))</f>
        <v/>
      </c>
      <c r="D319" s="23" t="n"/>
      <c r="E319" s="21" t="n"/>
      <c r="F319" s="24" t="n"/>
      <c r="G319" s="24" t="n"/>
    </row>
    <row r="320" ht="15.75" customHeight="1">
      <c r="A320" s="20" t="n"/>
      <c r="B320" s="21" t="n"/>
      <c r="C320" s="22">
        <f>IF($B320="","",IFERROR(INDEX(Clienti!$B:$B,MATCH($B320,Clienti!$A:$A,0)),"Codice non trovato"))</f>
        <v/>
      </c>
      <c r="D320" s="23" t="n"/>
      <c r="E320" s="21" t="n"/>
      <c r="F320" s="24" t="n"/>
      <c r="G320" s="24" t="n"/>
    </row>
    <row r="321" ht="15.75" customHeight="1">
      <c r="A321" s="20" t="n"/>
      <c r="B321" s="21" t="n"/>
      <c r="C321" s="22">
        <f>IF($B321="","",IFERROR(INDEX(Clienti!$B:$B,MATCH($B321,Clienti!$A:$A,0)),"Codice non trovato"))</f>
        <v/>
      </c>
      <c r="D321" s="23" t="n"/>
      <c r="E321" s="21" t="n"/>
      <c r="F321" s="24" t="n"/>
      <c r="G321" s="24" t="n"/>
    </row>
    <row r="322" ht="15.75" customHeight="1">
      <c r="A322" s="20" t="n"/>
      <c r="B322" s="21" t="n"/>
      <c r="C322" s="22">
        <f>IF($B322="","",IFERROR(INDEX(Clienti!$B:$B,MATCH($B322,Clienti!$A:$A,0)),"Codice non trovato"))</f>
        <v/>
      </c>
      <c r="D322" s="23" t="n"/>
      <c r="E322" s="21" t="n"/>
      <c r="F322" s="24" t="n"/>
      <c r="G322" s="24" t="n"/>
    </row>
    <row r="323" ht="15.75" customHeight="1">
      <c r="A323" s="20" t="n"/>
      <c r="B323" s="21" t="n"/>
      <c r="C323" s="22">
        <f>IF($B323="","",IFERROR(INDEX(Clienti!$B:$B,MATCH($B323,Clienti!$A:$A,0)),"Codice non trovato"))</f>
        <v/>
      </c>
      <c r="D323" s="23" t="n"/>
      <c r="E323" s="21" t="n"/>
      <c r="F323" s="24" t="n"/>
      <c r="G323" s="24" t="n"/>
    </row>
    <row r="324" ht="15.75" customHeight="1">
      <c r="A324" s="20" t="n"/>
      <c r="B324" s="21" t="n"/>
      <c r="C324" s="22">
        <f>IF($B324="","",IFERROR(INDEX(Clienti!$B:$B,MATCH($B324,Clienti!$A:$A,0)),"Codice non trovato"))</f>
        <v/>
      </c>
      <c r="D324" s="23" t="n"/>
      <c r="E324" s="21" t="n"/>
      <c r="F324" s="24" t="n"/>
      <c r="G324" s="24" t="n"/>
    </row>
    <row r="325" ht="15.75" customHeight="1">
      <c r="A325" s="20" t="n"/>
      <c r="B325" s="21" t="n"/>
      <c r="C325" s="22">
        <f>IF($B325="","",IFERROR(INDEX(Clienti!$B:$B,MATCH($B325,Clienti!$A:$A,0)),"Codice non trovato"))</f>
        <v/>
      </c>
      <c r="D325" s="23" t="n"/>
      <c r="E325" s="21" t="n"/>
      <c r="F325" s="24" t="n"/>
      <c r="G325" s="24" t="n"/>
    </row>
    <row r="326" ht="15.75" customHeight="1">
      <c r="A326" s="20" t="n"/>
      <c r="B326" s="21" t="n"/>
      <c r="C326" s="22">
        <f>IF($B326="","",IFERROR(INDEX(Clienti!$B:$B,MATCH($B326,Clienti!$A:$A,0)),"Codice non trovato"))</f>
        <v/>
      </c>
      <c r="D326" s="23" t="n"/>
      <c r="E326" s="21" t="n"/>
      <c r="F326" s="24" t="n"/>
      <c r="G326" s="24" t="n"/>
    </row>
    <row r="327" ht="15.75" customHeight="1">
      <c r="A327" s="20" t="n"/>
      <c r="B327" s="21" t="n"/>
      <c r="C327" s="22">
        <f>IF($B327="","",IFERROR(INDEX(Clienti!$B:$B,MATCH($B327,Clienti!$A:$A,0)),"Codice non trovato"))</f>
        <v/>
      </c>
      <c r="D327" s="23" t="n"/>
      <c r="E327" s="21" t="n"/>
      <c r="F327" s="24" t="n"/>
      <c r="G327" s="24" t="n"/>
    </row>
    <row r="328" ht="15.75" customHeight="1">
      <c r="A328" s="20" t="n"/>
      <c r="B328" s="21" t="n"/>
      <c r="C328" s="22">
        <f>IF($B328="","",IFERROR(INDEX(Clienti!$B:$B,MATCH($B328,Clienti!$A:$A,0)),"Codice non trovato"))</f>
        <v/>
      </c>
      <c r="D328" s="23" t="n"/>
      <c r="E328" s="21" t="n"/>
      <c r="F328" s="24" t="n"/>
      <c r="G328" s="24" t="n"/>
    </row>
    <row r="329" ht="15.75" customHeight="1">
      <c r="A329" s="20" t="n"/>
      <c r="B329" s="21" t="n"/>
      <c r="C329" s="22">
        <f>IF($B329="","",IFERROR(INDEX(Clienti!$B:$B,MATCH($B329,Clienti!$A:$A,0)),"Codice non trovato"))</f>
        <v/>
      </c>
      <c r="D329" s="23" t="n"/>
      <c r="E329" s="21" t="n"/>
      <c r="F329" s="24" t="n"/>
      <c r="G329" s="24" t="n"/>
    </row>
    <row r="330" ht="15.75" customHeight="1">
      <c r="A330" s="20" t="n"/>
      <c r="B330" s="21" t="n"/>
      <c r="C330" s="22">
        <f>IF($B330="","",IFERROR(INDEX(Clienti!$B:$B,MATCH($B330,Clienti!$A:$A,0)),"Codice non trovato"))</f>
        <v/>
      </c>
      <c r="D330" s="23" t="n"/>
      <c r="E330" s="21" t="n"/>
      <c r="F330" s="24" t="n"/>
      <c r="G330" s="24" t="n"/>
    </row>
    <row r="331" ht="15.75" customHeight="1">
      <c r="A331" s="20" t="n"/>
      <c r="B331" s="21" t="n"/>
      <c r="C331" s="22">
        <f>IF($B331="","",IFERROR(INDEX(Clienti!$B:$B,MATCH($B331,Clienti!$A:$A,0)),"Codice non trovato"))</f>
        <v/>
      </c>
      <c r="D331" s="23" t="n"/>
      <c r="E331" s="21" t="n"/>
      <c r="F331" s="24" t="n"/>
      <c r="G331" s="24" t="n"/>
    </row>
    <row r="332" ht="15.75" customHeight="1">
      <c r="A332" s="20" t="n"/>
      <c r="B332" s="21" t="n"/>
      <c r="C332" s="22">
        <f>IF($B332="","",IFERROR(INDEX(Clienti!$B:$B,MATCH($B332,Clienti!$A:$A,0)),"Codice non trovato"))</f>
        <v/>
      </c>
      <c r="D332" s="23" t="n"/>
      <c r="E332" s="21" t="n"/>
      <c r="F332" s="24" t="n"/>
      <c r="G332" s="24" t="n"/>
    </row>
    <row r="333" ht="15.75" customHeight="1">
      <c r="A333" s="20" t="n"/>
      <c r="B333" s="21" t="n"/>
      <c r="C333" s="22">
        <f>IF($B333="","",IFERROR(INDEX(Clienti!$B:$B,MATCH($B333,Clienti!$A:$A,0)),"Codice non trovato"))</f>
        <v/>
      </c>
      <c r="D333" s="23" t="n"/>
      <c r="E333" s="21" t="n"/>
      <c r="F333" s="24" t="n"/>
      <c r="G333" s="24" t="n"/>
    </row>
    <row r="334" ht="15.75" customHeight="1">
      <c r="A334" s="20" t="n"/>
      <c r="B334" s="21" t="n"/>
      <c r="C334" s="22">
        <f>IF($B334="","",IFERROR(INDEX(Clienti!$B:$B,MATCH($B334,Clienti!$A:$A,0)),"Codice non trovato"))</f>
        <v/>
      </c>
      <c r="D334" s="23" t="n"/>
      <c r="E334" s="21" t="n"/>
      <c r="F334" s="24" t="n"/>
      <c r="G334" s="24" t="n"/>
    </row>
    <row r="335" ht="15.75" customHeight="1">
      <c r="A335" s="20" t="n"/>
      <c r="B335" s="21" t="n"/>
      <c r="C335" s="22">
        <f>IF($B335="","",IFERROR(INDEX(Clienti!$B:$B,MATCH($B335,Clienti!$A:$A,0)),"Codice non trovato"))</f>
        <v/>
      </c>
      <c r="D335" s="23" t="n"/>
      <c r="E335" s="21" t="n"/>
      <c r="F335" s="24" t="n"/>
      <c r="G335" s="24" t="n"/>
    </row>
    <row r="336" ht="15.75" customHeight="1">
      <c r="A336" s="20" t="n"/>
      <c r="B336" s="21" t="n"/>
      <c r="C336" s="22">
        <f>IF($B336="","",IFERROR(INDEX(Clienti!$B:$B,MATCH($B336,Clienti!$A:$A,0)),"Codice non trovato"))</f>
        <v/>
      </c>
      <c r="D336" s="23" t="n"/>
      <c r="E336" s="21" t="n"/>
      <c r="F336" s="24" t="n"/>
      <c r="G336" s="24" t="n"/>
    </row>
    <row r="337" ht="15.75" customHeight="1">
      <c r="A337" s="20" t="n"/>
      <c r="B337" s="21" t="n"/>
      <c r="C337" s="22">
        <f>IF($B337="","",IFERROR(INDEX(Clienti!$B:$B,MATCH($B337,Clienti!$A:$A,0)),"Codice non trovato"))</f>
        <v/>
      </c>
      <c r="D337" s="23" t="n"/>
      <c r="E337" s="21" t="n"/>
      <c r="F337" s="24" t="n"/>
      <c r="G337" s="24" t="n"/>
    </row>
    <row r="338" ht="15.75" customHeight="1">
      <c r="A338" s="20" t="n"/>
      <c r="B338" s="21" t="n"/>
      <c r="C338" s="22">
        <f>IF($B338="","",IFERROR(INDEX(Clienti!$B:$B,MATCH($B338,Clienti!$A:$A,0)),"Codice non trovato"))</f>
        <v/>
      </c>
      <c r="D338" s="23" t="n"/>
      <c r="E338" s="21" t="n"/>
      <c r="F338" s="24" t="n"/>
      <c r="G338" s="24" t="n"/>
    </row>
    <row r="339" ht="15.75" customHeight="1">
      <c r="A339" s="20" t="n"/>
      <c r="B339" s="21" t="n"/>
      <c r="C339" s="22">
        <f>IF($B339="","",IFERROR(INDEX(Clienti!$B:$B,MATCH($B339,Clienti!$A:$A,0)),"Codice non trovato"))</f>
        <v/>
      </c>
      <c r="D339" s="23" t="n"/>
      <c r="E339" s="21" t="n"/>
      <c r="F339" s="24" t="n"/>
      <c r="G339" s="24" t="n"/>
    </row>
    <row r="340" ht="15.75" customHeight="1">
      <c r="A340" s="20" t="n"/>
      <c r="B340" s="21" t="n"/>
      <c r="C340" s="22">
        <f>IF($B340="","",IFERROR(INDEX(Clienti!$B:$B,MATCH($B340,Clienti!$A:$A,0)),"Codice non trovato"))</f>
        <v/>
      </c>
      <c r="D340" s="23" t="n"/>
      <c r="E340" s="21" t="n"/>
      <c r="F340" s="24" t="n"/>
      <c r="G340" s="24" t="n"/>
    </row>
    <row r="341" ht="15.75" customHeight="1">
      <c r="A341" s="20" t="n"/>
      <c r="B341" s="21" t="n"/>
      <c r="C341" s="22">
        <f>IF($B341="","",IFERROR(INDEX(Clienti!$B:$B,MATCH($B341,Clienti!$A:$A,0)),"Codice non trovato"))</f>
        <v/>
      </c>
      <c r="D341" s="23" t="n"/>
      <c r="E341" s="21" t="n"/>
      <c r="F341" s="24" t="n"/>
      <c r="G341" s="24" t="n"/>
    </row>
    <row r="342" ht="15.75" customHeight="1">
      <c r="A342" s="20" t="n"/>
      <c r="B342" s="21" t="n"/>
      <c r="C342" s="22">
        <f>IF($B342="","",IFERROR(INDEX(Clienti!$B:$B,MATCH($B342,Clienti!$A:$A,0)),"Codice non trovato"))</f>
        <v/>
      </c>
      <c r="D342" s="23" t="n"/>
      <c r="E342" s="21" t="n"/>
      <c r="F342" s="24" t="n"/>
      <c r="G342" s="24" t="n"/>
    </row>
    <row r="343" ht="15.75" customHeight="1">
      <c r="A343" s="20" t="n"/>
      <c r="B343" s="21" t="n"/>
      <c r="C343" s="22">
        <f>IF($B343="","",IFERROR(INDEX(Clienti!$B:$B,MATCH($B343,Clienti!$A:$A,0)),"Codice non trovato"))</f>
        <v/>
      </c>
      <c r="D343" s="23" t="n"/>
      <c r="E343" s="21" t="n"/>
      <c r="F343" s="24" t="n"/>
      <c r="G343" s="24" t="n"/>
    </row>
    <row r="344" ht="15.75" customHeight="1">
      <c r="A344" s="20" t="n"/>
      <c r="B344" s="21" t="n"/>
      <c r="C344" s="22">
        <f>IF($B344="","",IFERROR(INDEX(Clienti!$B:$B,MATCH($B344,Clienti!$A:$A,0)),"Codice non trovato"))</f>
        <v/>
      </c>
      <c r="D344" s="23" t="n"/>
      <c r="E344" s="21" t="n"/>
      <c r="F344" s="24" t="n"/>
      <c r="G344" s="24" t="n"/>
    </row>
    <row r="345" ht="15.75" customHeight="1">
      <c r="A345" s="20" t="n"/>
      <c r="B345" s="21" t="n"/>
      <c r="C345" s="22">
        <f>IF($B345="","",IFERROR(INDEX(Clienti!$B:$B,MATCH($B345,Clienti!$A:$A,0)),"Codice non trovato"))</f>
        <v/>
      </c>
      <c r="D345" s="23" t="n"/>
      <c r="E345" s="21" t="n"/>
      <c r="F345" s="24" t="n"/>
      <c r="G345" s="24" t="n"/>
    </row>
    <row r="346" ht="15.75" customHeight="1">
      <c r="A346" s="20" t="n"/>
      <c r="B346" s="21" t="n"/>
      <c r="C346" s="22">
        <f>IF($B346="","",IFERROR(INDEX(Clienti!$B:$B,MATCH($B346,Clienti!$A:$A,0)),"Codice non trovato"))</f>
        <v/>
      </c>
      <c r="D346" s="23" t="n"/>
      <c r="E346" s="21" t="n"/>
      <c r="F346" s="24" t="n"/>
      <c r="G346" s="24" t="n"/>
    </row>
    <row r="347" ht="15.75" customHeight="1">
      <c r="A347" s="20" t="n"/>
      <c r="B347" s="21" t="n"/>
      <c r="C347" s="22">
        <f>IF($B347="","",IFERROR(INDEX(Clienti!$B:$B,MATCH($B347,Clienti!$A:$A,0)),"Codice non trovato"))</f>
        <v/>
      </c>
      <c r="D347" s="23" t="n"/>
      <c r="E347" s="21" t="n"/>
      <c r="F347" s="24" t="n"/>
      <c r="G347" s="24" t="n"/>
    </row>
    <row r="348" ht="15.75" customHeight="1">
      <c r="A348" s="20" t="n"/>
      <c r="B348" s="21" t="n"/>
      <c r="C348" s="22">
        <f>IF($B348="","",IFERROR(INDEX(Clienti!$B:$B,MATCH($B348,Clienti!$A:$A,0)),"Codice non trovato"))</f>
        <v/>
      </c>
      <c r="D348" s="23" t="n"/>
      <c r="E348" s="21" t="n"/>
      <c r="F348" s="24" t="n"/>
      <c r="G348" s="24" t="n"/>
    </row>
    <row r="349" ht="15.75" customHeight="1">
      <c r="A349" s="20" t="n"/>
      <c r="B349" s="21" t="n"/>
      <c r="C349" s="22">
        <f>IF($B349="","",IFERROR(INDEX(Clienti!$B:$B,MATCH($B349,Clienti!$A:$A,0)),"Codice non trovato"))</f>
        <v/>
      </c>
      <c r="D349" s="23" t="n"/>
      <c r="E349" s="21" t="n"/>
      <c r="F349" s="24" t="n"/>
      <c r="G349" s="24" t="n"/>
    </row>
    <row r="350" ht="15.75" customHeight="1">
      <c r="A350" s="20" t="n"/>
      <c r="B350" s="21" t="n"/>
      <c r="C350" s="22">
        <f>IF($B350="","",IFERROR(INDEX(Clienti!$B:$B,MATCH($B350,Clienti!$A:$A,0)),"Codice non trovato"))</f>
        <v/>
      </c>
      <c r="D350" s="23" t="n"/>
      <c r="E350" s="21" t="n"/>
      <c r="F350" s="24" t="n"/>
      <c r="G350" s="24" t="n"/>
    </row>
    <row r="351" ht="15.75" customHeight="1">
      <c r="A351" s="20" t="n"/>
      <c r="B351" s="21" t="n"/>
      <c r="C351" s="22">
        <f>IF($B351="","",IFERROR(INDEX(Clienti!$B:$B,MATCH($B351,Clienti!$A:$A,0)),"Codice non trovato"))</f>
        <v/>
      </c>
      <c r="D351" s="23" t="n"/>
      <c r="E351" s="21" t="n"/>
      <c r="F351" s="24" t="n"/>
      <c r="G351" s="24" t="n"/>
    </row>
    <row r="352" ht="15.75" customHeight="1">
      <c r="A352" s="20" t="n"/>
      <c r="B352" s="21" t="n"/>
      <c r="C352" s="22">
        <f>IF($B352="","",IFERROR(INDEX(Clienti!$B:$B,MATCH($B352,Clienti!$A:$A,0)),"Codice non trovato"))</f>
        <v/>
      </c>
      <c r="D352" s="23" t="n"/>
      <c r="E352" s="21" t="n"/>
      <c r="F352" s="24" t="n"/>
      <c r="G352" s="24" t="n"/>
    </row>
    <row r="353" ht="15.75" customHeight="1">
      <c r="A353" s="20" t="n"/>
      <c r="B353" s="21" t="n"/>
      <c r="C353" s="22">
        <f>IF($B353="","",IFERROR(INDEX(Clienti!$B:$B,MATCH($B353,Clienti!$A:$A,0)),"Codice non trovato"))</f>
        <v/>
      </c>
      <c r="D353" s="23" t="n"/>
      <c r="E353" s="21" t="n"/>
      <c r="F353" s="24" t="n"/>
      <c r="G353" s="24" t="n"/>
    </row>
    <row r="354" ht="15.75" customHeight="1">
      <c r="A354" s="20" t="n"/>
      <c r="B354" s="21" t="n"/>
      <c r="C354" s="22">
        <f>IF($B354="","",IFERROR(INDEX(Clienti!$B:$B,MATCH($B354,Clienti!$A:$A,0)),"Codice non trovato"))</f>
        <v/>
      </c>
      <c r="D354" s="23" t="n"/>
      <c r="E354" s="21" t="n"/>
      <c r="F354" s="24" t="n"/>
      <c r="G354" s="24" t="n"/>
    </row>
    <row r="355" ht="15.75" customHeight="1">
      <c r="A355" s="20" t="n"/>
      <c r="B355" s="21" t="n"/>
      <c r="C355" s="22">
        <f>IF($B355="","",IFERROR(INDEX(Clienti!$B:$B,MATCH($B355,Clienti!$A:$A,0)),"Codice non trovato"))</f>
        <v/>
      </c>
      <c r="D355" s="23" t="n"/>
      <c r="E355" s="21" t="n"/>
      <c r="F355" s="24" t="n"/>
      <c r="G355" s="24" t="n"/>
    </row>
    <row r="356" ht="15.75" customHeight="1">
      <c r="A356" s="20" t="n"/>
      <c r="B356" s="21" t="n"/>
      <c r="C356" s="22">
        <f>IF($B356="","",IFERROR(INDEX(Clienti!$B:$B,MATCH($B356,Clienti!$A:$A,0)),"Codice non trovato"))</f>
        <v/>
      </c>
      <c r="D356" s="23" t="n"/>
      <c r="E356" s="21" t="n"/>
      <c r="F356" s="24" t="n"/>
      <c r="G356" s="24" t="n"/>
    </row>
    <row r="357" ht="15.75" customHeight="1">
      <c r="A357" s="20" t="n"/>
      <c r="B357" s="21" t="n"/>
      <c r="C357" s="22">
        <f>IF($B357="","",IFERROR(INDEX(Clienti!$B:$B,MATCH($B357,Clienti!$A:$A,0)),"Codice non trovato"))</f>
        <v/>
      </c>
      <c r="D357" s="23" t="n"/>
      <c r="E357" s="21" t="n"/>
      <c r="F357" s="24" t="n"/>
      <c r="G357" s="24" t="n"/>
    </row>
    <row r="358" ht="15.75" customHeight="1">
      <c r="A358" s="20" t="n"/>
      <c r="B358" s="21" t="n"/>
      <c r="C358" s="22">
        <f>IF($B358="","",IFERROR(INDEX(Clienti!$B:$B,MATCH($B358,Clienti!$A:$A,0)),"Codice non trovato"))</f>
        <v/>
      </c>
      <c r="D358" s="23" t="n"/>
      <c r="E358" s="21" t="n"/>
      <c r="F358" s="24" t="n"/>
      <c r="G358" s="24" t="n"/>
    </row>
    <row r="359" ht="15.75" customHeight="1">
      <c r="A359" s="20" t="n"/>
      <c r="B359" s="21" t="n"/>
      <c r="C359" s="22">
        <f>IF($B359="","",IFERROR(INDEX(Clienti!$B:$B,MATCH($B359,Clienti!$A:$A,0)),"Codice non trovato"))</f>
        <v/>
      </c>
      <c r="D359" s="23" t="n"/>
      <c r="E359" s="21" t="n"/>
      <c r="F359" s="24" t="n"/>
      <c r="G359" s="24" t="n"/>
    </row>
    <row r="360" ht="15.75" customHeight="1">
      <c r="A360" s="20" t="n"/>
      <c r="B360" s="21" t="n"/>
      <c r="C360" s="22">
        <f>IF($B360="","",IFERROR(INDEX(Clienti!$B:$B,MATCH($B360,Clienti!$A:$A,0)),"Codice non trovato"))</f>
        <v/>
      </c>
      <c r="D360" s="23" t="n"/>
      <c r="E360" s="21" t="n"/>
      <c r="F360" s="24" t="n"/>
      <c r="G360" s="24" t="n"/>
    </row>
    <row r="361" ht="15.75" customHeight="1">
      <c r="A361" s="20" t="n"/>
      <c r="B361" s="21" t="n"/>
      <c r="C361" s="22">
        <f>IF($B361="","",IFERROR(INDEX(Clienti!$B:$B,MATCH($B361,Clienti!$A:$A,0)),"Codice non trovato"))</f>
        <v/>
      </c>
      <c r="D361" s="23" t="n"/>
      <c r="E361" s="21" t="n"/>
      <c r="F361" s="24" t="n"/>
      <c r="G361" s="24" t="n"/>
    </row>
    <row r="362" ht="15.75" customHeight="1">
      <c r="A362" s="20" t="n"/>
      <c r="B362" s="21" t="n"/>
      <c r="C362" s="22">
        <f>IF($B362="","",IFERROR(INDEX(Clienti!$B:$B,MATCH($B362,Clienti!$A:$A,0)),"Codice non trovato"))</f>
        <v/>
      </c>
      <c r="D362" s="23" t="n"/>
      <c r="E362" s="21" t="n"/>
      <c r="F362" s="24" t="n"/>
      <c r="G362" s="24" t="n"/>
    </row>
    <row r="363" ht="15.75" customHeight="1">
      <c r="A363" s="20" t="n"/>
      <c r="B363" s="21" t="n"/>
      <c r="C363" s="22">
        <f>IF($B363="","",IFERROR(INDEX(Clienti!$B:$B,MATCH($B363,Clienti!$A:$A,0)),"Codice non trovato"))</f>
        <v/>
      </c>
      <c r="D363" s="23" t="n"/>
      <c r="E363" s="21" t="n"/>
      <c r="F363" s="24" t="n"/>
      <c r="G363" s="24" t="n"/>
    </row>
    <row r="364" ht="15.75" customHeight="1">
      <c r="A364" s="20" t="n"/>
      <c r="B364" s="21" t="n"/>
      <c r="C364" s="22">
        <f>IF($B364="","",IFERROR(INDEX(Clienti!$B:$B,MATCH($B364,Clienti!$A:$A,0)),"Codice non trovato"))</f>
        <v/>
      </c>
      <c r="D364" s="23" t="n"/>
      <c r="E364" s="21" t="n"/>
      <c r="F364" s="24" t="n"/>
      <c r="G364" s="24" t="n"/>
    </row>
    <row r="365" ht="15.75" customHeight="1">
      <c r="A365" s="20" t="n"/>
      <c r="B365" s="21" t="n"/>
      <c r="C365" s="22">
        <f>IF($B365="","",IFERROR(INDEX(Clienti!$B:$B,MATCH($B365,Clienti!$A:$A,0)),"Codice non trovato"))</f>
        <v/>
      </c>
      <c r="D365" s="23" t="n"/>
      <c r="E365" s="21" t="n"/>
      <c r="F365" s="24" t="n"/>
      <c r="G365" s="24" t="n"/>
    </row>
    <row r="366" ht="15.75" customHeight="1">
      <c r="A366" s="20" t="n"/>
      <c r="B366" s="21" t="n"/>
      <c r="C366" s="22">
        <f>IF($B366="","",IFERROR(INDEX(Clienti!$B:$B,MATCH($B366,Clienti!$A:$A,0)),"Codice non trovato"))</f>
        <v/>
      </c>
      <c r="D366" s="23" t="n"/>
      <c r="E366" s="21" t="n"/>
      <c r="F366" s="24" t="n"/>
      <c r="G366" s="24" t="n"/>
    </row>
    <row r="367" ht="15.75" customHeight="1">
      <c r="A367" s="20" t="n"/>
      <c r="B367" s="21" t="n"/>
      <c r="C367" s="22">
        <f>IF($B367="","",IFERROR(INDEX(Clienti!$B:$B,MATCH($B367,Clienti!$A:$A,0)),"Codice non trovato"))</f>
        <v/>
      </c>
      <c r="D367" s="23" t="n"/>
      <c r="E367" s="21" t="n"/>
      <c r="F367" s="24" t="n"/>
      <c r="G367" s="24" t="n"/>
    </row>
    <row r="368" ht="15.75" customHeight="1">
      <c r="A368" s="20" t="n"/>
      <c r="B368" s="21" t="n"/>
      <c r="C368" s="22">
        <f>IF($B368="","",IFERROR(INDEX(Clienti!$B:$B,MATCH($B368,Clienti!$A:$A,0)),"Codice non trovato"))</f>
        <v/>
      </c>
      <c r="D368" s="23" t="n"/>
      <c r="E368" s="21" t="n"/>
      <c r="F368" s="24" t="n"/>
      <c r="G368" s="24" t="n"/>
    </row>
    <row r="369" ht="15.75" customHeight="1">
      <c r="A369" s="20" t="n"/>
      <c r="B369" s="21" t="n"/>
      <c r="C369" s="22">
        <f>IF($B369="","",IFERROR(INDEX(Clienti!$B:$B,MATCH($B369,Clienti!$A:$A,0)),"Codice non trovato"))</f>
        <v/>
      </c>
      <c r="D369" s="23" t="n"/>
      <c r="E369" s="21" t="n"/>
      <c r="F369" s="24" t="n"/>
      <c r="G369" s="24" t="n"/>
    </row>
    <row r="370" ht="15.75" customHeight="1">
      <c r="A370" s="20" t="n"/>
      <c r="B370" s="21" t="n"/>
      <c r="C370" s="22">
        <f>IF($B370="","",IFERROR(INDEX(Clienti!$B:$B,MATCH($B370,Clienti!$A:$A,0)),"Codice non trovato"))</f>
        <v/>
      </c>
      <c r="D370" s="23" t="n"/>
      <c r="E370" s="21" t="n"/>
      <c r="F370" s="24" t="n"/>
      <c r="G370" s="24" t="n"/>
    </row>
    <row r="371" ht="15.75" customHeight="1">
      <c r="A371" s="20" t="n"/>
      <c r="B371" s="21" t="n"/>
      <c r="C371" s="22">
        <f>IF($B371="","",IFERROR(INDEX(Clienti!$B:$B,MATCH($B371,Clienti!$A:$A,0)),"Codice non trovato"))</f>
        <v/>
      </c>
      <c r="D371" s="23" t="n"/>
      <c r="E371" s="21" t="n"/>
      <c r="F371" s="24" t="n"/>
      <c r="G371" s="24" t="n"/>
    </row>
    <row r="372" ht="15.75" customHeight="1">
      <c r="A372" s="20" t="n"/>
      <c r="B372" s="21" t="n"/>
      <c r="C372" s="22">
        <f>IF($B372="","",IFERROR(INDEX(Clienti!$B:$B,MATCH($B372,Clienti!$A:$A,0)),"Codice non trovato"))</f>
        <v/>
      </c>
      <c r="D372" s="23" t="n"/>
      <c r="E372" s="21" t="n"/>
      <c r="F372" s="24" t="n"/>
      <c r="G372" s="24" t="n"/>
    </row>
    <row r="373" ht="15.75" customHeight="1">
      <c r="A373" s="20" t="n"/>
      <c r="B373" s="21" t="n"/>
      <c r="C373" s="22">
        <f>IF($B373="","",IFERROR(INDEX(Clienti!$B:$B,MATCH($B373,Clienti!$A:$A,0)),"Codice non trovato"))</f>
        <v/>
      </c>
      <c r="D373" s="23" t="n"/>
      <c r="E373" s="21" t="n"/>
      <c r="F373" s="24" t="n"/>
      <c r="G373" s="24" t="n"/>
    </row>
    <row r="374" ht="15.75" customHeight="1">
      <c r="A374" s="20" t="n"/>
      <c r="B374" s="21" t="n"/>
      <c r="C374" s="22">
        <f>IF($B374="","",IFERROR(INDEX(Clienti!$B:$B,MATCH($B374,Clienti!$A:$A,0)),"Codice non trovato"))</f>
        <v/>
      </c>
      <c r="D374" s="23" t="n"/>
      <c r="E374" s="21" t="n"/>
      <c r="F374" s="24" t="n"/>
      <c r="G374" s="24" t="n"/>
    </row>
    <row r="375" ht="15.75" customHeight="1">
      <c r="A375" s="20" t="n"/>
      <c r="B375" s="21" t="n"/>
      <c r="C375" s="22">
        <f>IF($B375="","",IFERROR(INDEX(Clienti!$B:$B,MATCH($B375,Clienti!$A:$A,0)),"Codice non trovato"))</f>
        <v/>
      </c>
      <c r="D375" s="23" t="n"/>
      <c r="E375" s="21" t="n"/>
      <c r="F375" s="24" t="n"/>
      <c r="G375" s="24" t="n"/>
    </row>
    <row r="376" ht="15.75" customHeight="1">
      <c r="A376" s="20" t="n"/>
      <c r="B376" s="21" t="n"/>
      <c r="C376" s="22">
        <f>IF($B376="","",IFERROR(INDEX(Clienti!$B:$B,MATCH($B376,Clienti!$A:$A,0)),"Codice non trovato"))</f>
        <v/>
      </c>
      <c r="D376" s="23" t="n"/>
      <c r="E376" s="21" t="n"/>
      <c r="F376" s="24" t="n"/>
      <c r="G376" s="24" t="n"/>
    </row>
    <row r="377" ht="15.75" customHeight="1">
      <c r="A377" s="20" t="n"/>
      <c r="B377" s="21" t="n"/>
      <c r="C377" s="22">
        <f>IF($B377="","",IFERROR(INDEX(Clienti!$B:$B,MATCH($B377,Clienti!$A:$A,0)),"Codice non trovato"))</f>
        <v/>
      </c>
      <c r="D377" s="23" t="n"/>
      <c r="E377" s="21" t="n"/>
      <c r="F377" s="24" t="n"/>
      <c r="G377" s="24" t="n"/>
    </row>
    <row r="378" ht="15.75" customHeight="1">
      <c r="A378" s="20" t="n"/>
      <c r="B378" s="21" t="n"/>
      <c r="C378" s="22">
        <f>IF($B378="","",IFERROR(INDEX(Clienti!$B:$B,MATCH($B378,Clienti!$A:$A,0)),"Codice non trovato"))</f>
        <v/>
      </c>
      <c r="D378" s="23" t="n"/>
      <c r="E378" s="21" t="n"/>
      <c r="F378" s="24" t="n"/>
      <c r="G378" s="24" t="n"/>
    </row>
    <row r="379" ht="15.75" customHeight="1">
      <c r="A379" s="20" t="n"/>
      <c r="B379" s="21" t="n"/>
      <c r="C379" s="22">
        <f>IF($B379="","",IFERROR(INDEX(Clienti!$B:$B,MATCH($B379,Clienti!$A:$A,0)),"Codice non trovato"))</f>
        <v/>
      </c>
      <c r="D379" s="23" t="n"/>
      <c r="E379" s="21" t="n"/>
      <c r="F379" s="24" t="n"/>
      <c r="G379" s="24" t="n"/>
    </row>
    <row r="380" ht="15.75" customHeight="1">
      <c r="A380" s="20" t="n"/>
      <c r="B380" s="21" t="n"/>
      <c r="C380" s="22">
        <f>IF($B380="","",IFERROR(INDEX(Clienti!$B:$B,MATCH($B380,Clienti!$A:$A,0)),"Codice non trovato"))</f>
        <v/>
      </c>
      <c r="D380" s="23" t="n"/>
      <c r="E380" s="21" t="n"/>
      <c r="F380" s="24" t="n"/>
      <c r="G380" s="24" t="n"/>
    </row>
    <row r="381" ht="15.75" customHeight="1">
      <c r="A381" s="20" t="n"/>
      <c r="B381" s="21" t="n"/>
      <c r="C381" s="22">
        <f>IF($B381="","",IFERROR(INDEX(Clienti!$B:$B,MATCH($B381,Clienti!$A:$A,0)),"Codice non trovato"))</f>
        <v/>
      </c>
      <c r="D381" s="23" t="n"/>
      <c r="E381" s="21" t="n"/>
      <c r="F381" s="24" t="n"/>
      <c r="G381" s="24" t="n"/>
    </row>
    <row r="382" ht="15.75" customHeight="1">
      <c r="A382" s="20" t="n"/>
      <c r="B382" s="21" t="n"/>
      <c r="C382" s="22">
        <f>IF($B382="","",IFERROR(INDEX(Clienti!$B:$B,MATCH($B382,Clienti!$A:$A,0)),"Codice non trovato"))</f>
        <v/>
      </c>
      <c r="D382" s="23" t="n"/>
      <c r="E382" s="21" t="n"/>
      <c r="F382" s="24" t="n"/>
      <c r="G382" s="24" t="n"/>
    </row>
    <row r="383" ht="15.75" customHeight="1">
      <c r="A383" s="20" t="n"/>
      <c r="B383" s="21" t="n"/>
      <c r="C383" s="22">
        <f>IF($B383="","",IFERROR(INDEX(Clienti!$B:$B,MATCH($B383,Clienti!$A:$A,0)),"Codice non trovato"))</f>
        <v/>
      </c>
      <c r="D383" s="23" t="n"/>
      <c r="E383" s="21" t="n"/>
      <c r="F383" s="24" t="n"/>
      <c r="G383" s="24" t="n"/>
    </row>
    <row r="384" ht="15.75" customHeight="1">
      <c r="A384" s="20" t="n"/>
      <c r="B384" s="21" t="n"/>
      <c r="C384" s="22">
        <f>IF($B384="","",IFERROR(INDEX(Clienti!$B:$B,MATCH($B384,Clienti!$A:$A,0)),"Codice non trovato"))</f>
        <v/>
      </c>
      <c r="D384" s="23" t="n"/>
      <c r="E384" s="21" t="n"/>
      <c r="F384" s="24" t="n"/>
      <c r="G384" s="24" t="n"/>
    </row>
    <row r="385" ht="15.75" customHeight="1">
      <c r="A385" s="20" t="n"/>
      <c r="B385" s="21" t="n"/>
      <c r="C385" s="22">
        <f>IF($B385="","",IFERROR(INDEX(Clienti!$B:$B,MATCH($B385,Clienti!$A:$A,0)),"Codice non trovato"))</f>
        <v/>
      </c>
      <c r="D385" s="23" t="n"/>
      <c r="E385" s="21" t="n"/>
      <c r="F385" s="24" t="n"/>
      <c r="G385" s="24" t="n"/>
    </row>
    <row r="386" ht="15.75" customHeight="1">
      <c r="A386" s="20" t="n"/>
      <c r="B386" s="21" t="n"/>
      <c r="C386" s="22">
        <f>IF($B386="","",IFERROR(INDEX(Clienti!$B:$B,MATCH($B386,Clienti!$A:$A,0)),"Codice non trovato"))</f>
        <v/>
      </c>
      <c r="D386" s="23" t="n"/>
      <c r="E386" s="21" t="n"/>
      <c r="F386" s="24" t="n"/>
      <c r="G386" s="24" t="n"/>
    </row>
    <row r="387" ht="15.75" customHeight="1">
      <c r="A387" s="20" t="n"/>
      <c r="B387" s="21" t="n"/>
      <c r="C387" s="22">
        <f>IF($B387="","",IFERROR(INDEX(Clienti!$B:$B,MATCH($B387,Clienti!$A:$A,0)),"Codice non trovato"))</f>
        <v/>
      </c>
      <c r="D387" s="23" t="n"/>
      <c r="E387" s="21" t="n"/>
      <c r="F387" s="24" t="n"/>
      <c r="G387" s="24" t="n"/>
    </row>
    <row r="388" ht="15.75" customHeight="1">
      <c r="A388" s="20" t="n"/>
      <c r="B388" s="21" t="n"/>
      <c r="C388" s="22">
        <f>IF($B388="","",IFERROR(INDEX(Clienti!$B:$B,MATCH($B388,Clienti!$A:$A,0)),"Codice non trovato"))</f>
        <v/>
      </c>
      <c r="D388" s="23" t="n"/>
      <c r="E388" s="21" t="n"/>
      <c r="F388" s="24" t="n"/>
      <c r="G388" s="24" t="n"/>
    </row>
    <row r="389" ht="15.75" customHeight="1">
      <c r="A389" s="20" t="n"/>
      <c r="B389" s="21" t="n"/>
      <c r="C389" s="22">
        <f>IF($B389="","",IFERROR(INDEX(Clienti!$B:$B,MATCH($B389,Clienti!$A:$A,0)),"Codice non trovato"))</f>
        <v/>
      </c>
      <c r="D389" s="23" t="n"/>
      <c r="E389" s="21" t="n"/>
      <c r="F389" s="24" t="n"/>
      <c r="G389" s="24" t="n"/>
    </row>
    <row r="390" ht="15.75" customHeight="1">
      <c r="A390" s="20" t="n"/>
      <c r="B390" s="21" t="n"/>
      <c r="C390" s="22">
        <f>IF($B390="","",IFERROR(INDEX(Clienti!$B:$B,MATCH($B390,Clienti!$A:$A,0)),"Codice non trovato"))</f>
        <v/>
      </c>
      <c r="D390" s="23" t="n"/>
      <c r="E390" s="21" t="n"/>
      <c r="F390" s="24" t="n"/>
      <c r="G390" s="24" t="n"/>
    </row>
    <row r="391" ht="15.75" customHeight="1">
      <c r="A391" s="20" t="n"/>
      <c r="B391" s="21" t="n"/>
      <c r="C391" s="22">
        <f>IF($B391="","",IFERROR(INDEX(Clienti!$B:$B,MATCH($B391,Clienti!$A:$A,0)),"Codice non trovato"))</f>
        <v/>
      </c>
      <c r="D391" s="23" t="n"/>
      <c r="E391" s="21" t="n"/>
      <c r="F391" s="24" t="n"/>
      <c r="G391" s="24" t="n"/>
    </row>
    <row r="392" ht="15.75" customHeight="1">
      <c r="A392" s="20" t="n"/>
      <c r="B392" s="21" t="n"/>
      <c r="C392" s="22">
        <f>IF($B392="","",IFERROR(INDEX(Clienti!$B:$B,MATCH($B392,Clienti!$A:$A,0)),"Codice non trovato"))</f>
        <v/>
      </c>
      <c r="D392" s="23" t="n"/>
      <c r="E392" s="21" t="n"/>
      <c r="F392" s="24" t="n"/>
      <c r="G392" s="24" t="n"/>
    </row>
    <row r="393" ht="15.75" customHeight="1">
      <c r="A393" s="20" t="n"/>
      <c r="B393" s="21" t="n"/>
      <c r="C393" s="22">
        <f>IF($B393="","",IFERROR(INDEX(Clienti!$B:$B,MATCH($B393,Clienti!$A:$A,0)),"Codice non trovato"))</f>
        <v/>
      </c>
      <c r="D393" s="23" t="n"/>
      <c r="E393" s="21" t="n"/>
      <c r="F393" s="24" t="n"/>
      <c r="G393" s="24" t="n"/>
    </row>
    <row r="394" ht="15.75" customHeight="1">
      <c r="A394" s="20" t="n"/>
      <c r="B394" s="21" t="n"/>
      <c r="C394" s="22">
        <f>IF($B394="","",IFERROR(INDEX(Clienti!$B:$B,MATCH($B394,Clienti!$A:$A,0)),"Codice non trovato"))</f>
        <v/>
      </c>
      <c r="D394" s="23" t="n"/>
      <c r="E394" s="21" t="n"/>
      <c r="F394" s="24" t="n"/>
      <c r="G394" s="24" t="n"/>
    </row>
    <row r="395" ht="15.75" customHeight="1">
      <c r="A395" s="20" t="n"/>
      <c r="B395" s="21" t="n"/>
      <c r="C395" s="22">
        <f>IF($B395="","",IFERROR(INDEX(Clienti!$B:$B,MATCH($B395,Clienti!$A:$A,0)),"Codice non trovato"))</f>
        <v/>
      </c>
      <c r="D395" s="23" t="n"/>
      <c r="E395" s="21" t="n"/>
      <c r="F395" s="24" t="n"/>
      <c r="G395" s="24" t="n"/>
    </row>
    <row r="396" ht="15.75" customHeight="1">
      <c r="A396" s="20" t="n"/>
      <c r="B396" s="21" t="n"/>
      <c r="C396" s="22">
        <f>IF($B396="","",IFERROR(INDEX(Clienti!$B:$B,MATCH($B396,Clienti!$A:$A,0)),"Codice non trovato"))</f>
        <v/>
      </c>
      <c r="D396" s="23" t="n"/>
      <c r="E396" s="21" t="n"/>
      <c r="F396" s="24" t="n"/>
      <c r="G396" s="24" t="n"/>
    </row>
    <row r="397" ht="15.75" customHeight="1">
      <c r="A397" s="20" t="n"/>
      <c r="B397" s="21" t="n"/>
      <c r="C397" s="22">
        <f>IF($B397="","",IFERROR(INDEX(Clienti!$B:$B,MATCH($B397,Clienti!$A:$A,0)),"Codice non trovato"))</f>
        <v/>
      </c>
      <c r="D397" s="23" t="n"/>
      <c r="E397" s="21" t="n"/>
      <c r="F397" s="24" t="n"/>
      <c r="G397" s="24" t="n"/>
    </row>
    <row r="398" ht="15.75" customHeight="1">
      <c r="A398" s="20" t="n"/>
      <c r="B398" s="21" t="n"/>
      <c r="C398" s="22">
        <f>IF($B398="","",IFERROR(INDEX(Clienti!$B:$B,MATCH($B398,Clienti!$A:$A,0)),"Codice non trovato"))</f>
        <v/>
      </c>
      <c r="D398" s="23" t="n"/>
      <c r="E398" s="21" t="n"/>
      <c r="F398" s="24" t="n"/>
      <c r="G398" s="24" t="n"/>
    </row>
    <row r="399" ht="15.75" customHeight="1">
      <c r="A399" s="20" t="n"/>
      <c r="B399" s="21" t="n"/>
      <c r="C399" s="22">
        <f>IF($B399="","",IFERROR(INDEX(Clienti!$B:$B,MATCH($B399,Clienti!$A:$A,0)),"Codice non trovato"))</f>
        <v/>
      </c>
      <c r="D399" s="23" t="n"/>
      <c r="E399" s="21" t="n"/>
      <c r="F399" s="24" t="n"/>
      <c r="G399" s="24" t="n"/>
    </row>
    <row r="400" ht="15.75" customHeight="1">
      <c r="A400" s="20" t="n"/>
      <c r="B400" s="21" t="n"/>
      <c r="C400" s="22">
        <f>IF($B400="","",IFERROR(INDEX(Clienti!$B:$B,MATCH($B400,Clienti!$A:$A,0)),"Codice non trovato"))</f>
        <v/>
      </c>
      <c r="D400" s="23" t="n"/>
      <c r="E400" s="21" t="n"/>
      <c r="F400" s="24" t="n"/>
      <c r="G400" s="24" t="n"/>
    </row>
    <row r="401" ht="15.75" customHeight="1">
      <c r="A401" s="20" t="n"/>
      <c r="B401" s="21" t="n"/>
      <c r="C401" s="22">
        <f>IF($B401="","",IFERROR(INDEX(Clienti!$B:$B,MATCH($B401,Clienti!$A:$A,0)),"Codice non trovato"))</f>
        <v/>
      </c>
      <c r="D401" s="23" t="n"/>
      <c r="E401" s="21" t="n"/>
      <c r="F401" s="24" t="n"/>
      <c r="G401" s="24" t="n"/>
    </row>
    <row r="402" ht="15.75" customHeight="1">
      <c r="A402" s="20" t="n"/>
      <c r="B402" s="21" t="n"/>
      <c r="C402" s="22">
        <f>IF($B402="","",IFERROR(INDEX(Clienti!$B:$B,MATCH($B402,Clienti!$A:$A,0)),"Codice non trovato"))</f>
        <v/>
      </c>
      <c r="D402" s="23" t="n"/>
      <c r="E402" s="21" t="n"/>
      <c r="F402" s="24" t="n"/>
      <c r="G402" s="24" t="n"/>
    </row>
    <row r="403" ht="15.75" customHeight="1">
      <c r="A403" s="20" t="n"/>
      <c r="B403" s="21" t="n"/>
      <c r="C403" s="22">
        <f>IF($B403="","",IFERROR(INDEX(Clienti!$B:$B,MATCH($B403,Clienti!$A:$A,0)),"Codice non trovato"))</f>
        <v/>
      </c>
      <c r="D403" s="23" t="n"/>
      <c r="E403" s="21" t="n"/>
      <c r="F403" s="24" t="n"/>
      <c r="G403" s="24" t="n"/>
    </row>
    <row r="404" ht="15.75" customHeight="1">
      <c r="A404" s="20" t="n"/>
      <c r="B404" s="21" t="n"/>
      <c r="C404" s="22">
        <f>IF($B404="","",IFERROR(INDEX(Clienti!$B:$B,MATCH($B404,Clienti!$A:$A,0)),"Codice non trovato"))</f>
        <v/>
      </c>
      <c r="D404" s="23" t="n"/>
      <c r="E404" s="21" t="n"/>
      <c r="F404" s="24" t="n"/>
      <c r="G404" s="24" t="n"/>
    </row>
    <row r="405" ht="15.75" customHeight="1">
      <c r="A405" s="20" t="n"/>
      <c r="B405" s="21" t="n"/>
      <c r="C405" s="22">
        <f>IF($B405="","",IFERROR(INDEX(Clienti!$B:$B,MATCH($B405,Clienti!$A:$A,0)),"Codice non trovato"))</f>
        <v/>
      </c>
      <c r="D405" s="23" t="n"/>
      <c r="E405" s="21" t="n"/>
      <c r="F405" s="24" t="n"/>
      <c r="G405" s="24" t="n"/>
    </row>
    <row r="406" ht="15.75" customHeight="1">
      <c r="A406" s="20" t="n"/>
      <c r="B406" s="21" t="n"/>
      <c r="C406" s="22">
        <f>IF($B406="","",IFERROR(INDEX(Clienti!$B:$B,MATCH($B406,Clienti!$A:$A,0)),"Codice non trovato"))</f>
        <v/>
      </c>
      <c r="D406" s="23" t="n"/>
      <c r="E406" s="21" t="n"/>
      <c r="F406" s="24" t="n"/>
      <c r="G406" s="24" t="n"/>
    </row>
    <row r="407" ht="15.75" customHeight="1">
      <c r="A407" s="20" t="n"/>
      <c r="B407" s="21" t="n"/>
      <c r="C407" s="22">
        <f>IF($B407="","",IFERROR(INDEX(Clienti!$B:$B,MATCH($B407,Clienti!$A:$A,0)),"Codice non trovato"))</f>
        <v/>
      </c>
      <c r="D407" s="23" t="n"/>
      <c r="E407" s="21" t="n"/>
      <c r="F407" s="24" t="n"/>
      <c r="G407" s="24" t="n"/>
    </row>
    <row r="408" ht="15.75" customHeight="1">
      <c r="A408" s="20" t="n"/>
      <c r="B408" s="21" t="n"/>
      <c r="C408" s="22">
        <f>IF($B408="","",IFERROR(INDEX(Clienti!$B:$B,MATCH($B408,Clienti!$A:$A,0)),"Codice non trovato"))</f>
        <v/>
      </c>
      <c r="D408" s="23" t="n"/>
      <c r="E408" s="21" t="n"/>
      <c r="F408" s="24" t="n"/>
      <c r="G408" s="24" t="n"/>
    </row>
    <row r="409" ht="15.75" customHeight="1">
      <c r="A409" s="20" t="n"/>
      <c r="B409" s="21" t="n"/>
      <c r="C409" s="22">
        <f>IF($B409="","",IFERROR(INDEX(Clienti!$B:$B,MATCH($B409,Clienti!$A:$A,0)),"Codice non trovato"))</f>
        <v/>
      </c>
      <c r="D409" s="23" t="n"/>
      <c r="E409" s="21" t="n"/>
      <c r="F409" s="24" t="n"/>
      <c r="G409" s="24" t="n"/>
    </row>
    <row r="410" ht="15.75" customHeight="1">
      <c r="A410" s="20" t="n"/>
      <c r="B410" s="21" t="n"/>
      <c r="C410" s="22">
        <f>IF($B410="","",IFERROR(INDEX(Clienti!$B:$B,MATCH($B410,Clienti!$A:$A,0)),"Codice non trovato"))</f>
        <v/>
      </c>
      <c r="D410" s="23" t="n"/>
      <c r="E410" s="21" t="n"/>
      <c r="F410" s="24" t="n"/>
      <c r="G410" s="24" t="n"/>
    </row>
    <row r="411" ht="15.75" customHeight="1">
      <c r="A411" s="20" t="n"/>
      <c r="B411" s="21" t="n"/>
      <c r="C411" s="22">
        <f>IF($B411="","",IFERROR(INDEX(Clienti!$B:$B,MATCH($B411,Clienti!$A:$A,0)),"Codice non trovato"))</f>
        <v/>
      </c>
      <c r="D411" s="23" t="n"/>
      <c r="E411" s="21" t="n"/>
      <c r="F411" s="24" t="n"/>
      <c r="G411" s="24" t="n"/>
    </row>
    <row r="412" ht="15.75" customHeight="1">
      <c r="A412" s="20" t="n"/>
      <c r="B412" s="21" t="n"/>
      <c r="C412" s="22">
        <f>IF($B412="","",IFERROR(INDEX(Clienti!$B:$B,MATCH($B412,Clienti!$A:$A,0)),"Codice non trovato"))</f>
        <v/>
      </c>
      <c r="D412" s="23" t="n"/>
      <c r="E412" s="21" t="n"/>
      <c r="F412" s="24" t="n"/>
      <c r="G412" s="24" t="n"/>
    </row>
    <row r="413" ht="15.75" customHeight="1">
      <c r="A413" s="20" t="n"/>
      <c r="B413" s="21" t="n"/>
      <c r="C413" s="22">
        <f>IF($B413="","",IFERROR(INDEX(Clienti!$B:$B,MATCH($B413,Clienti!$A:$A,0)),"Codice non trovato"))</f>
        <v/>
      </c>
      <c r="D413" s="23" t="n"/>
      <c r="E413" s="21" t="n"/>
      <c r="F413" s="24" t="n"/>
      <c r="G413" s="24" t="n"/>
    </row>
    <row r="414" ht="15.75" customHeight="1">
      <c r="A414" s="20" t="n"/>
      <c r="B414" s="21" t="n"/>
      <c r="C414" s="22">
        <f>IF($B414="","",IFERROR(INDEX(Clienti!$B:$B,MATCH($B414,Clienti!$A:$A,0)),"Codice non trovato"))</f>
        <v/>
      </c>
      <c r="D414" s="23" t="n"/>
      <c r="E414" s="21" t="n"/>
      <c r="F414" s="24" t="n"/>
      <c r="G414" s="24" t="n"/>
    </row>
    <row r="415" ht="15.75" customHeight="1">
      <c r="A415" s="20" t="n"/>
      <c r="B415" s="21" t="n"/>
      <c r="C415" s="22">
        <f>IF($B415="","",IFERROR(INDEX(Clienti!$B:$B,MATCH($B415,Clienti!$A:$A,0)),"Codice non trovato"))</f>
        <v/>
      </c>
      <c r="D415" s="23" t="n"/>
      <c r="E415" s="21" t="n"/>
      <c r="F415" s="24" t="n"/>
      <c r="G415" s="24" t="n"/>
    </row>
    <row r="416" ht="15.75" customHeight="1">
      <c r="A416" s="20" t="n"/>
      <c r="B416" s="21" t="n"/>
      <c r="C416" s="22">
        <f>IF($B416="","",IFERROR(INDEX(Clienti!$B:$B,MATCH($B416,Clienti!$A:$A,0)),"Codice non trovato"))</f>
        <v/>
      </c>
      <c r="D416" s="23" t="n"/>
      <c r="E416" s="21" t="n"/>
      <c r="F416" s="24" t="n"/>
      <c r="G416" s="24" t="n"/>
    </row>
    <row r="417" ht="15.75" customHeight="1">
      <c r="A417" s="20" t="n"/>
      <c r="B417" s="21" t="n"/>
      <c r="C417" s="22">
        <f>IF($B417="","",IFERROR(INDEX(Clienti!$B:$B,MATCH($B417,Clienti!$A:$A,0)),"Codice non trovato"))</f>
        <v/>
      </c>
      <c r="D417" s="23" t="n"/>
      <c r="E417" s="21" t="n"/>
      <c r="F417" s="24" t="n"/>
      <c r="G417" s="24" t="n"/>
    </row>
    <row r="418" ht="15.75" customHeight="1">
      <c r="A418" s="20" t="n"/>
      <c r="B418" s="21" t="n"/>
      <c r="C418" s="22">
        <f>IF($B418="","",IFERROR(INDEX(Clienti!$B:$B,MATCH($B418,Clienti!$A:$A,0)),"Codice non trovato"))</f>
        <v/>
      </c>
      <c r="D418" s="23" t="n"/>
      <c r="E418" s="21" t="n"/>
      <c r="F418" s="24" t="n"/>
      <c r="G418" s="24" t="n"/>
    </row>
    <row r="419" ht="15.75" customHeight="1">
      <c r="A419" s="20" t="n"/>
      <c r="B419" s="21" t="n"/>
      <c r="C419" s="22">
        <f>IF($B419="","",IFERROR(INDEX(Clienti!$B:$B,MATCH($B419,Clienti!$A:$A,0)),"Codice non trovato"))</f>
        <v/>
      </c>
      <c r="D419" s="23" t="n"/>
      <c r="E419" s="21" t="n"/>
      <c r="F419" s="24" t="n"/>
      <c r="G419" s="24" t="n"/>
    </row>
    <row r="420" ht="15.75" customHeight="1">
      <c r="A420" s="20" t="n"/>
      <c r="B420" s="21" t="n"/>
      <c r="C420" s="22">
        <f>IF($B420="","",IFERROR(INDEX(Clienti!$B:$B,MATCH($B420,Clienti!$A:$A,0)),"Codice non trovato"))</f>
        <v/>
      </c>
      <c r="D420" s="23" t="n"/>
      <c r="E420" s="21" t="n"/>
      <c r="F420" s="24" t="n"/>
      <c r="G420" s="24" t="n"/>
    </row>
    <row r="421" ht="15.75" customHeight="1">
      <c r="A421" s="20" t="n"/>
      <c r="B421" s="21" t="n"/>
      <c r="C421" s="22">
        <f>IF($B421="","",IFERROR(INDEX(Clienti!$B:$B,MATCH($B421,Clienti!$A:$A,0)),"Codice non trovato"))</f>
        <v/>
      </c>
      <c r="D421" s="23" t="n"/>
      <c r="E421" s="21" t="n"/>
      <c r="F421" s="24" t="n"/>
      <c r="G421" s="24" t="n"/>
    </row>
    <row r="422" ht="15.75" customHeight="1">
      <c r="A422" s="20" t="n"/>
      <c r="B422" s="21" t="n"/>
      <c r="C422" s="22">
        <f>IF($B422="","",IFERROR(INDEX(Clienti!$B:$B,MATCH($B422,Clienti!$A:$A,0)),"Codice non trovato"))</f>
        <v/>
      </c>
      <c r="D422" s="23" t="n"/>
      <c r="E422" s="21" t="n"/>
      <c r="F422" s="24" t="n"/>
      <c r="G422" s="24" t="n"/>
    </row>
    <row r="423" ht="15.75" customHeight="1">
      <c r="A423" s="20" t="n"/>
      <c r="B423" s="21" t="n"/>
      <c r="C423" s="22">
        <f>IF($B423="","",IFERROR(INDEX(Clienti!$B:$B,MATCH($B423,Clienti!$A:$A,0)),"Codice non trovato"))</f>
        <v/>
      </c>
      <c r="D423" s="23" t="n"/>
      <c r="E423" s="21" t="n"/>
      <c r="F423" s="24" t="n"/>
      <c r="G423" s="24" t="n"/>
    </row>
    <row r="424" ht="15.75" customHeight="1">
      <c r="A424" s="20" t="n"/>
      <c r="B424" s="21" t="n"/>
      <c r="C424" s="22">
        <f>IF($B424="","",IFERROR(INDEX(Clienti!$B:$B,MATCH($B424,Clienti!$A:$A,0)),"Codice non trovato"))</f>
        <v/>
      </c>
      <c r="D424" s="23" t="n"/>
      <c r="E424" s="21" t="n"/>
      <c r="F424" s="24" t="n"/>
      <c r="G424" s="24" t="n"/>
    </row>
    <row r="425" ht="15.75" customHeight="1">
      <c r="A425" s="20" t="n"/>
      <c r="B425" s="21" t="n"/>
      <c r="C425" s="22">
        <f>IF($B425="","",IFERROR(INDEX(Clienti!$B:$B,MATCH($B425,Clienti!$A:$A,0)),"Codice non trovato"))</f>
        <v/>
      </c>
      <c r="D425" s="23" t="n"/>
      <c r="E425" s="21" t="n"/>
      <c r="F425" s="24" t="n"/>
      <c r="G425" s="24" t="n"/>
    </row>
    <row r="426" ht="15.75" customHeight="1">
      <c r="A426" s="20" t="n"/>
      <c r="B426" s="21" t="n"/>
      <c r="C426" s="22">
        <f>IF($B426="","",IFERROR(INDEX(Clienti!$B:$B,MATCH($B426,Clienti!$A:$A,0)),"Codice non trovato"))</f>
        <v/>
      </c>
      <c r="D426" s="23" t="n"/>
      <c r="E426" s="21" t="n"/>
      <c r="F426" s="24" t="n"/>
      <c r="G426" s="24" t="n"/>
    </row>
    <row r="427" ht="15.75" customHeight="1">
      <c r="A427" s="20" t="n"/>
      <c r="B427" s="21" t="n"/>
      <c r="C427" s="22">
        <f>IF($B427="","",IFERROR(INDEX(Clienti!$B:$B,MATCH($B427,Clienti!$A:$A,0)),"Codice non trovato"))</f>
        <v/>
      </c>
      <c r="D427" s="23" t="n"/>
      <c r="E427" s="21" t="n"/>
      <c r="F427" s="24" t="n"/>
      <c r="G427" s="24" t="n"/>
    </row>
    <row r="428" ht="15.75" customHeight="1">
      <c r="A428" s="20" t="n"/>
      <c r="B428" s="21" t="n"/>
      <c r="C428" s="22">
        <f>IF($B428="","",IFERROR(INDEX(Clienti!$B:$B,MATCH($B428,Clienti!$A:$A,0)),"Codice non trovato"))</f>
        <v/>
      </c>
      <c r="D428" s="23" t="n"/>
      <c r="E428" s="21" t="n"/>
      <c r="F428" s="24" t="n"/>
      <c r="G428" s="24" t="n"/>
    </row>
    <row r="429" ht="15.75" customHeight="1">
      <c r="A429" s="20" t="n"/>
      <c r="B429" s="21" t="n"/>
      <c r="C429" s="22">
        <f>IF($B429="","",IFERROR(INDEX(Clienti!$B:$B,MATCH($B429,Clienti!$A:$A,0)),"Codice non trovato"))</f>
        <v/>
      </c>
      <c r="D429" s="23" t="n"/>
      <c r="E429" s="21" t="n"/>
      <c r="F429" s="24" t="n"/>
      <c r="G429" s="24" t="n"/>
    </row>
    <row r="430" ht="15.75" customHeight="1">
      <c r="A430" s="20" t="n"/>
      <c r="B430" s="21" t="n"/>
      <c r="C430" s="22">
        <f>IF($B430="","",IFERROR(INDEX(Clienti!$B:$B,MATCH($B430,Clienti!$A:$A,0)),"Codice non trovato"))</f>
        <v/>
      </c>
      <c r="D430" s="23" t="n"/>
      <c r="E430" s="21" t="n"/>
      <c r="F430" s="24" t="n"/>
      <c r="G430" s="24" t="n"/>
    </row>
    <row r="431" ht="15.75" customHeight="1">
      <c r="A431" s="20" t="n"/>
      <c r="B431" s="21" t="n"/>
      <c r="C431" s="22">
        <f>IF($B431="","",IFERROR(INDEX(Clienti!$B:$B,MATCH($B431,Clienti!$A:$A,0)),"Codice non trovato"))</f>
        <v/>
      </c>
      <c r="D431" s="23" t="n"/>
      <c r="E431" s="21" t="n"/>
      <c r="F431" s="24" t="n"/>
      <c r="G431" s="24" t="n"/>
    </row>
    <row r="432" ht="15.75" customHeight="1">
      <c r="A432" s="20" t="n"/>
      <c r="B432" s="21" t="n"/>
      <c r="C432" s="22">
        <f>IF($B432="","",IFERROR(INDEX(Clienti!$B:$B,MATCH($B432,Clienti!$A:$A,0)),"Codice non trovato"))</f>
        <v/>
      </c>
      <c r="D432" s="23" t="n"/>
      <c r="E432" s="21" t="n"/>
      <c r="F432" s="24" t="n"/>
      <c r="G432" s="24" t="n"/>
    </row>
    <row r="433" ht="15.75" customHeight="1">
      <c r="A433" s="20" t="n"/>
      <c r="B433" s="21" t="n"/>
      <c r="C433" s="22">
        <f>IF($B433="","",IFERROR(INDEX(Clienti!$B:$B,MATCH($B433,Clienti!$A:$A,0)),"Codice non trovato"))</f>
        <v/>
      </c>
      <c r="D433" s="23" t="n"/>
      <c r="E433" s="21" t="n"/>
      <c r="F433" s="24" t="n"/>
      <c r="G433" s="24" t="n"/>
    </row>
    <row r="434" ht="15.75" customHeight="1">
      <c r="A434" s="20" t="n"/>
      <c r="B434" s="21" t="n"/>
      <c r="C434" s="22">
        <f>IF($B434="","",IFERROR(INDEX(Clienti!$B:$B,MATCH($B434,Clienti!$A:$A,0)),"Codice non trovato"))</f>
        <v/>
      </c>
      <c r="D434" s="23" t="n"/>
      <c r="E434" s="21" t="n"/>
      <c r="F434" s="24" t="n"/>
      <c r="G434" s="24" t="n"/>
    </row>
    <row r="435" ht="15.75" customHeight="1">
      <c r="A435" s="20" t="n"/>
      <c r="B435" s="21" t="n"/>
      <c r="C435" s="22">
        <f>IF($B435="","",IFERROR(INDEX(Clienti!$B:$B,MATCH($B435,Clienti!$A:$A,0)),"Codice non trovato"))</f>
        <v/>
      </c>
      <c r="D435" s="23" t="n"/>
      <c r="E435" s="21" t="n"/>
      <c r="F435" s="24" t="n"/>
      <c r="G435" s="24" t="n"/>
    </row>
    <row r="436" ht="15.75" customHeight="1">
      <c r="A436" s="20" t="n"/>
      <c r="B436" s="21" t="n"/>
      <c r="C436" s="22">
        <f>IF($B436="","",IFERROR(INDEX(Clienti!$B:$B,MATCH($B436,Clienti!$A:$A,0)),"Codice non trovato"))</f>
        <v/>
      </c>
      <c r="D436" s="23" t="n"/>
      <c r="E436" s="21" t="n"/>
      <c r="F436" s="24" t="n"/>
      <c r="G436" s="24" t="n"/>
    </row>
    <row r="437" ht="15.75" customHeight="1">
      <c r="A437" s="20" t="n"/>
      <c r="B437" s="21" t="n"/>
      <c r="C437" s="22">
        <f>IF($B437="","",IFERROR(INDEX(Clienti!$B:$B,MATCH($B437,Clienti!$A:$A,0)),"Codice non trovato"))</f>
        <v/>
      </c>
      <c r="D437" s="23" t="n"/>
      <c r="E437" s="21" t="n"/>
      <c r="F437" s="24" t="n"/>
      <c r="G437" s="24" t="n"/>
    </row>
    <row r="438" ht="15.75" customHeight="1">
      <c r="A438" s="20" t="n"/>
      <c r="B438" s="21" t="n"/>
      <c r="C438" s="22">
        <f>IF($B438="","",IFERROR(INDEX(Clienti!$B:$B,MATCH($B438,Clienti!$A:$A,0)),"Codice non trovato"))</f>
        <v/>
      </c>
      <c r="D438" s="23" t="n"/>
      <c r="E438" s="21" t="n"/>
      <c r="F438" s="24" t="n"/>
      <c r="G438" s="24" t="n"/>
    </row>
    <row r="439" ht="15.75" customHeight="1">
      <c r="A439" s="20" t="n"/>
      <c r="B439" s="21" t="n"/>
      <c r="C439" s="22">
        <f>IF($B439="","",IFERROR(INDEX(Clienti!$B:$B,MATCH($B439,Clienti!$A:$A,0)),"Codice non trovato"))</f>
        <v/>
      </c>
      <c r="D439" s="23" t="n"/>
      <c r="E439" s="21" t="n"/>
      <c r="F439" s="24" t="n"/>
      <c r="G439" s="24" t="n"/>
    </row>
    <row r="440" ht="15.75" customHeight="1">
      <c r="A440" s="20" t="n"/>
      <c r="B440" s="21" t="n"/>
      <c r="C440" s="22">
        <f>IF($B440="","",IFERROR(INDEX(Clienti!$B:$B,MATCH($B440,Clienti!$A:$A,0)),"Codice non trovato"))</f>
        <v/>
      </c>
      <c r="D440" s="23" t="n"/>
      <c r="E440" s="21" t="n"/>
      <c r="F440" s="24" t="n"/>
      <c r="G440" s="24" t="n"/>
    </row>
    <row r="441" ht="15.75" customHeight="1">
      <c r="A441" s="20" t="n"/>
      <c r="B441" s="21" t="n"/>
      <c r="C441" s="22">
        <f>IF($B441="","",IFERROR(INDEX(Clienti!$B:$B,MATCH($B441,Clienti!$A:$A,0)),"Codice non trovato"))</f>
        <v/>
      </c>
      <c r="D441" s="23" t="n"/>
      <c r="E441" s="21" t="n"/>
      <c r="F441" s="24" t="n"/>
      <c r="G441" s="24" t="n"/>
    </row>
    <row r="442" ht="15.75" customHeight="1">
      <c r="A442" s="20" t="n"/>
      <c r="B442" s="21" t="n"/>
      <c r="C442" s="22">
        <f>IF($B442="","",IFERROR(INDEX(Clienti!$B:$B,MATCH($B442,Clienti!$A:$A,0)),"Codice non trovato"))</f>
        <v/>
      </c>
      <c r="D442" s="23" t="n"/>
      <c r="E442" s="21" t="n"/>
      <c r="F442" s="24" t="n"/>
      <c r="G442" s="24" t="n"/>
    </row>
    <row r="443" ht="15.75" customHeight="1">
      <c r="A443" s="20" t="n"/>
      <c r="B443" s="21" t="n"/>
      <c r="C443" s="22">
        <f>IF($B443="","",IFERROR(INDEX(Clienti!$B:$B,MATCH($B443,Clienti!$A:$A,0)),"Codice non trovato"))</f>
        <v/>
      </c>
      <c r="D443" s="23" t="n"/>
      <c r="E443" s="21" t="n"/>
      <c r="F443" s="24" t="n"/>
      <c r="G443" s="24" t="n"/>
    </row>
    <row r="444" ht="15.75" customHeight="1">
      <c r="A444" s="20" t="n"/>
      <c r="B444" s="21" t="n"/>
      <c r="C444" s="22">
        <f>IF($B444="","",IFERROR(INDEX(Clienti!$B:$B,MATCH($B444,Clienti!$A:$A,0)),"Codice non trovato"))</f>
        <v/>
      </c>
      <c r="D444" s="23" t="n"/>
      <c r="E444" s="21" t="n"/>
      <c r="F444" s="24" t="n"/>
      <c r="G444" s="24" t="n"/>
    </row>
    <row r="445" ht="15.75" customHeight="1">
      <c r="A445" s="20" t="n"/>
      <c r="B445" s="21" t="n"/>
      <c r="C445" s="22">
        <f>IF($B445="","",IFERROR(INDEX(Clienti!$B:$B,MATCH($B445,Clienti!$A:$A,0)),"Codice non trovato"))</f>
        <v/>
      </c>
      <c r="D445" s="23" t="n"/>
      <c r="E445" s="21" t="n"/>
      <c r="F445" s="24" t="n"/>
      <c r="G445" s="24" t="n"/>
    </row>
    <row r="446" ht="15.75" customHeight="1">
      <c r="A446" s="20" t="n"/>
      <c r="B446" s="21" t="n"/>
      <c r="C446" s="22">
        <f>IF($B446="","",IFERROR(INDEX(Clienti!$B:$B,MATCH($B446,Clienti!$A:$A,0)),"Codice non trovato"))</f>
        <v/>
      </c>
      <c r="D446" s="23" t="n"/>
      <c r="E446" s="21" t="n"/>
      <c r="F446" s="24" t="n"/>
      <c r="G446" s="24" t="n"/>
    </row>
    <row r="447" ht="15.75" customHeight="1">
      <c r="A447" s="20" t="n"/>
      <c r="B447" s="21" t="n"/>
      <c r="C447" s="22">
        <f>IF($B447="","",IFERROR(INDEX(Clienti!$B:$B,MATCH($B447,Clienti!$A:$A,0)),"Codice non trovato"))</f>
        <v/>
      </c>
      <c r="D447" s="23" t="n"/>
      <c r="E447" s="21" t="n"/>
      <c r="F447" s="24" t="n"/>
      <c r="G447" s="24" t="n"/>
    </row>
    <row r="448" ht="15.75" customHeight="1">
      <c r="A448" s="20" t="n"/>
      <c r="B448" s="21" t="n"/>
      <c r="C448" s="22">
        <f>IF($B448="","",IFERROR(INDEX(Clienti!$B:$B,MATCH($B448,Clienti!$A:$A,0)),"Codice non trovato"))</f>
        <v/>
      </c>
      <c r="D448" s="23" t="n"/>
      <c r="E448" s="21" t="n"/>
      <c r="F448" s="24" t="n"/>
      <c r="G448" s="24" t="n"/>
    </row>
    <row r="449" ht="15.75" customHeight="1">
      <c r="A449" s="20" t="n"/>
      <c r="B449" s="21" t="n"/>
      <c r="C449" s="22">
        <f>IF($B449="","",IFERROR(INDEX(Clienti!$B:$B,MATCH($B449,Clienti!$A:$A,0)),"Codice non trovato"))</f>
        <v/>
      </c>
      <c r="D449" s="23" t="n"/>
      <c r="E449" s="21" t="n"/>
      <c r="F449" s="24" t="n"/>
      <c r="G449" s="24" t="n"/>
    </row>
    <row r="450" ht="15.75" customHeight="1">
      <c r="A450" s="20" t="n"/>
      <c r="B450" s="21" t="n"/>
      <c r="C450" s="22">
        <f>IF($B450="","",IFERROR(INDEX(Clienti!$B:$B,MATCH($B450,Clienti!$A:$A,0)),"Codice non trovato"))</f>
        <v/>
      </c>
      <c r="D450" s="23" t="n"/>
      <c r="E450" s="21" t="n"/>
      <c r="F450" s="24" t="n"/>
      <c r="G450" s="24" t="n"/>
    </row>
    <row r="451" ht="15.75" customHeight="1">
      <c r="A451" s="20" t="n"/>
      <c r="B451" s="21" t="n"/>
      <c r="C451" s="22">
        <f>IF($B451="","",IFERROR(INDEX(Clienti!$B:$B,MATCH($B451,Clienti!$A:$A,0)),"Codice non trovato"))</f>
        <v/>
      </c>
      <c r="D451" s="23" t="n"/>
      <c r="E451" s="21" t="n"/>
      <c r="F451" s="24" t="n"/>
      <c r="G451" s="24" t="n"/>
    </row>
    <row r="452" ht="15.75" customHeight="1">
      <c r="A452" s="20" t="n"/>
      <c r="B452" s="21" t="n"/>
      <c r="C452" s="22">
        <f>IF($B452="","",IFERROR(INDEX(Clienti!$B:$B,MATCH($B452,Clienti!$A:$A,0)),"Codice non trovato"))</f>
        <v/>
      </c>
      <c r="D452" s="23" t="n"/>
      <c r="E452" s="21" t="n"/>
      <c r="F452" s="24" t="n"/>
      <c r="G452" s="24" t="n"/>
    </row>
    <row r="453" ht="15.75" customHeight="1">
      <c r="A453" s="20" t="n"/>
      <c r="B453" s="21" t="n"/>
      <c r="C453" s="22">
        <f>IF($B453="","",IFERROR(INDEX(Clienti!$B:$B,MATCH($B453,Clienti!$A:$A,0)),"Codice non trovato"))</f>
        <v/>
      </c>
      <c r="D453" s="23" t="n"/>
      <c r="E453" s="21" t="n"/>
      <c r="F453" s="24" t="n"/>
      <c r="G453" s="24" t="n"/>
    </row>
    <row r="454" ht="15.75" customHeight="1">
      <c r="A454" s="20" t="n"/>
      <c r="B454" s="21" t="n"/>
      <c r="C454" s="22">
        <f>IF($B454="","",IFERROR(INDEX(Clienti!$B:$B,MATCH($B454,Clienti!$A:$A,0)),"Codice non trovato"))</f>
        <v/>
      </c>
      <c r="D454" s="23" t="n"/>
      <c r="E454" s="21" t="n"/>
      <c r="F454" s="24" t="n"/>
      <c r="G454" s="24" t="n"/>
    </row>
    <row r="455" ht="15.75" customHeight="1">
      <c r="A455" s="20" t="n"/>
      <c r="B455" s="21" t="n"/>
      <c r="C455" s="22">
        <f>IF($B455="","",IFERROR(INDEX(Clienti!$B:$B,MATCH($B455,Clienti!$A:$A,0)),"Codice non trovato"))</f>
        <v/>
      </c>
      <c r="D455" s="23" t="n"/>
      <c r="E455" s="21" t="n"/>
      <c r="F455" s="24" t="n"/>
      <c r="G455" s="24" t="n"/>
    </row>
    <row r="456" ht="15.75" customHeight="1">
      <c r="A456" s="20" t="n"/>
      <c r="B456" s="21" t="n"/>
      <c r="C456" s="22">
        <f>IF($B456="","",IFERROR(INDEX(Clienti!$B:$B,MATCH($B456,Clienti!$A:$A,0)),"Codice non trovato"))</f>
        <v/>
      </c>
      <c r="D456" s="23" t="n"/>
      <c r="E456" s="21" t="n"/>
      <c r="F456" s="24" t="n"/>
      <c r="G456" s="24" t="n"/>
    </row>
    <row r="457" ht="15.75" customHeight="1">
      <c r="A457" s="20" t="n"/>
      <c r="B457" s="21" t="n"/>
      <c r="C457" s="22">
        <f>IF($B457="","",IFERROR(INDEX(Clienti!$B:$B,MATCH($B457,Clienti!$A:$A,0)),"Codice non trovato"))</f>
        <v/>
      </c>
      <c r="D457" s="23" t="n"/>
      <c r="E457" s="21" t="n"/>
      <c r="F457" s="24" t="n"/>
      <c r="G457" s="24" t="n"/>
    </row>
    <row r="458" ht="15.75" customHeight="1">
      <c r="A458" s="20" t="n"/>
      <c r="B458" s="21" t="n"/>
      <c r="C458" s="22">
        <f>IF($B458="","",IFERROR(INDEX(Clienti!$B:$B,MATCH($B458,Clienti!$A:$A,0)),"Codice non trovato"))</f>
        <v/>
      </c>
      <c r="D458" s="23" t="n"/>
      <c r="E458" s="21" t="n"/>
      <c r="F458" s="24" t="n"/>
      <c r="G458" s="24" t="n"/>
    </row>
    <row r="459" ht="15.75" customHeight="1">
      <c r="A459" s="20" t="n"/>
      <c r="B459" s="21" t="n"/>
      <c r="C459" s="22">
        <f>IF($B459="","",IFERROR(INDEX(Clienti!$B:$B,MATCH($B459,Clienti!$A:$A,0)),"Codice non trovato"))</f>
        <v/>
      </c>
      <c r="D459" s="23" t="n"/>
      <c r="E459" s="21" t="n"/>
      <c r="F459" s="24" t="n"/>
      <c r="G459" s="24" t="n"/>
    </row>
    <row r="460" ht="15.75" customHeight="1">
      <c r="A460" s="20" t="n"/>
      <c r="B460" s="21" t="n"/>
      <c r="C460" s="22">
        <f>IF($B460="","",IFERROR(INDEX(Clienti!$B:$B,MATCH($B460,Clienti!$A:$A,0)),"Codice non trovato"))</f>
        <v/>
      </c>
      <c r="D460" s="23" t="n"/>
      <c r="E460" s="21" t="n"/>
      <c r="F460" s="24" t="n"/>
      <c r="G460" s="24" t="n"/>
    </row>
    <row r="461" ht="15.75" customHeight="1">
      <c r="A461" s="20" t="n"/>
      <c r="B461" s="21" t="n"/>
      <c r="C461" s="22">
        <f>IF($B461="","",IFERROR(INDEX(Clienti!$B:$B,MATCH($B461,Clienti!$A:$A,0)),"Codice non trovato"))</f>
        <v/>
      </c>
      <c r="D461" s="23" t="n"/>
      <c r="E461" s="21" t="n"/>
      <c r="F461" s="24" t="n"/>
      <c r="G461" s="24" t="n"/>
    </row>
    <row r="462" ht="15.75" customHeight="1">
      <c r="A462" s="20" t="n"/>
      <c r="B462" s="21" t="n"/>
      <c r="C462" s="22">
        <f>IF($B462="","",IFERROR(INDEX(Clienti!$B:$B,MATCH($B462,Clienti!$A:$A,0)),"Codice non trovato"))</f>
        <v/>
      </c>
      <c r="D462" s="23" t="n"/>
      <c r="E462" s="21" t="n"/>
      <c r="F462" s="24" t="n"/>
      <c r="G462" s="24" t="n"/>
    </row>
    <row r="463" ht="15.75" customHeight="1">
      <c r="A463" s="20" t="n"/>
      <c r="B463" s="21" t="n"/>
      <c r="C463" s="22">
        <f>IF($B463="","",IFERROR(INDEX(Clienti!$B:$B,MATCH($B463,Clienti!$A:$A,0)),"Codice non trovato"))</f>
        <v/>
      </c>
      <c r="D463" s="23" t="n"/>
      <c r="E463" s="21" t="n"/>
      <c r="F463" s="24" t="n"/>
      <c r="G463" s="24" t="n"/>
    </row>
    <row r="464" ht="15.75" customHeight="1">
      <c r="A464" s="20" t="n"/>
      <c r="B464" s="21" t="n"/>
      <c r="C464" s="22">
        <f>IF($B464="","",IFERROR(INDEX(Clienti!$B:$B,MATCH($B464,Clienti!$A:$A,0)),"Codice non trovato"))</f>
        <v/>
      </c>
      <c r="D464" s="23" t="n"/>
      <c r="E464" s="21" t="n"/>
      <c r="F464" s="24" t="n"/>
      <c r="G464" s="24" t="n"/>
    </row>
    <row r="465" ht="15.75" customHeight="1">
      <c r="A465" s="20" t="n"/>
      <c r="B465" s="21" t="n"/>
      <c r="C465" s="22">
        <f>IF($B465="","",IFERROR(INDEX(Clienti!$B:$B,MATCH($B465,Clienti!$A:$A,0)),"Codice non trovato"))</f>
        <v/>
      </c>
      <c r="D465" s="23" t="n"/>
      <c r="E465" s="21" t="n"/>
      <c r="F465" s="24" t="n"/>
      <c r="G465" s="24" t="n"/>
    </row>
    <row r="466" ht="15.75" customHeight="1">
      <c r="A466" s="20" t="n"/>
      <c r="B466" s="21" t="n"/>
      <c r="C466" s="22">
        <f>IF($B466="","",IFERROR(INDEX(Clienti!$B:$B,MATCH($B466,Clienti!$A:$A,0)),"Codice non trovato"))</f>
        <v/>
      </c>
      <c r="D466" s="23" t="n"/>
      <c r="E466" s="21" t="n"/>
      <c r="F466" s="24" t="n"/>
      <c r="G466" s="24" t="n"/>
    </row>
    <row r="467" ht="15.75" customHeight="1">
      <c r="A467" s="20" t="n"/>
      <c r="B467" s="21" t="n"/>
      <c r="C467" s="22">
        <f>IF($B467="","",IFERROR(INDEX(Clienti!$B:$B,MATCH($B467,Clienti!$A:$A,0)),"Codice non trovato"))</f>
        <v/>
      </c>
      <c r="D467" s="23" t="n"/>
      <c r="E467" s="21" t="n"/>
      <c r="F467" s="24" t="n"/>
      <c r="G467" s="24" t="n"/>
    </row>
    <row r="468" ht="15.75" customHeight="1">
      <c r="A468" s="20" t="n"/>
      <c r="B468" s="21" t="n"/>
      <c r="C468" s="22">
        <f>IF($B468="","",IFERROR(INDEX(Clienti!$B:$B,MATCH($B468,Clienti!$A:$A,0)),"Codice non trovato"))</f>
        <v/>
      </c>
      <c r="D468" s="23" t="n"/>
      <c r="E468" s="21" t="n"/>
      <c r="F468" s="24" t="n"/>
      <c r="G468" s="24" t="n"/>
    </row>
    <row r="469" ht="15.75" customHeight="1">
      <c r="A469" s="20" t="n"/>
      <c r="B469" s="21" t="n"/>
      <c r="C469" s="22">
        <f>IF($B469="","",IFERROR(INDEX(Clienti!$B:$B,MATCH($B469,Clienti!$A:$A,0)),"Codice non trovato"))</f>
        <v/>
      </c>
      <c r="D469" s="23" t="n"/>
      <c r="E469" s="21" t="n"/>
      <c r="F469" s="24" t="n"/>
      <c r="G469" s="24" t="n"/>
    </row>
    <row r="470" ht="15.75" customHeight="1">
      <c r="A470" s="20" t="n"/>
      <c r="B470" s="21" t="n"/>
      <c r="C470" s="22">
        <f>IF($B470="","",IFERROR(INDEX(Clienti!$B:$B,MATCH($B470,Clienti!$A:$A,0)),"Codice non trovato"))</f>
        <v/>
      </c>
      <c r="D470" s="23" t="n"/>
      <c r="E470" s="21" t="n"/>
      <c r="F470" s="24" t="n"/>
      <c r="G470" s="24" t="n"/>
    </row>
    <row r="471" ht="15.75" customHeight="1">
      <c r="A471" s="20" t="n"/>
      <c r="B471" s="21" t="n"/>
      <c r="C471" s="22">
        <f>IF($B471="","",IFERROR(INDEX(Clienti!$B:$B,MATCH($B471,Clienti!$A:$A,0)),"Codice non trovato"))</f>
        <v/>
      </c>
      <c r="D471" s="23" t="n"/>
      <c r="E471" s="21" t="n"/>
      <c r="F471" s="24" t="n"/>
      <c r="G471" s="24" t="n"/>
    </row>
    <row r="472" ht="15.75" customHeight="1">
      <c r="A472" s="20" t="n"/>
      <c r="B472" s="21" t="n"/>
      <c r="C472" s="22">
        <f>IF($B472="","",IFERROR(INDEX(Clienti!$B:$B,MATCH($B472,Clienti!$A:$A,0)),"Codice non trovato"))</f>
        <v/>
      </c>
      <c r="D472" s="23" t="n"/>
      <c r="E472" s="21" t="n"/>
      <c r="F472" s="24" t="n"/>
      <c r="G472" s="24" t="n"/>
    </row>
    <row r="473" ht="15.75" customHeight="1">
      <c r="A473" s="20" t="n"/>
      <c r="B473" s="21" t="n"/>
      <c r="C473" s="22">
        <f>IF($B473="","",IFERROR(INDEX(Clienti!$B:$B,MATCH($B473,Clienti!$A:$A,0)),"Codice non trovato"))</f>
        <v/>
      </c>
      <c r="D473" s="23" t="n"/>
      <c r="E473" s="21" t="n"/>
      <c r="F473" s="24" t="n"/>
      <c r="G473" s="24" t="n"/>
    </row>
    <row r="474" ht="15.75" customHeight="1">
      <c r="A474" s="20" t="n"/>
      <c r="B474" s="21" t="n"/>
      <c r="C474" s="22">
        <f>IF($B474="","",IFERROR(INDEX(Clienti!$B:$B,MATCH($B474,Clienti!$A:$A,0)),"Codice non trovato"))</f>
        <v/>
      </c>
      <c r="D474" s="23" t="n"/>
      <c r="E474" s="21" t="n"/>
      <c r="F474" s="24" t="n"/>
      <c r="G474" s="24" t="n"/>
    </row>
    <row r="475" ht="15.75" customHeight="1">
      <c r="A475" s="20" t="n"/>
      <c r="B475" s="21" t="n"/>
      <c r="C475" s="22">
        <f>IF($B475="","",IFERROR(INDEX(Clienti!$B:$B,MATCH($B475,Clienti!$A:$A,0)),"Codice non trovato"))</f>
        <v/>
      </c>
      <c r="D475" s="23" t="n"/>
      <c r="E475" s="21" t="n"/>
      <c r="F475" s="24" t="n"/>
      <c r="G475" s="24" t="n"/>
    </row>
    <row r="476" ht="15.75" customHeight="1">
      <c r="A476" s="20" t="n"/>
      <c r="B476" s="21" t="n"/>
      <c r="C476" s="22">
        <f>IF($B476="","",IFERROR(INDEX(Clienti!$B:$B,MATCH($B476,Clienti!$A:$A,0)),"Codice non trovato"))</f>
        <v/>
      </c>
      <c r="D476" s="23" t="n"/>
      <c r="E476" s="21" t="n"/>
      <c r="F476" s="24" t="n"/>
      <c r="G476" s="24" t="n"/>
    </row>
    <row r="477" ht="15.75" customHeight="1">
      <c r="A477" s="20" t="n"/>
      <c r="B477" s="21" t="n"/>
      <c r="C477" s="22">
        <f>IF($B477="","",IFERROR(INDEX(Clienti!$B:$B,MATCH($B477,Clienti!$A:$A,0)),"Codice non trovato"))</f>
        <v/>
      </c>
      <c r="D477" s="23" t="n"/>
      <c r="E477" s="21" t="n"/>
      <c r="F477" s="24" t="n"/>
      <c r="G477" s="24" t="n"/>
    </row>
    <row r="478" ht="15.75" customHeight="1">
      <c r="A478" s="20" t="n"/>
      <c r="B478" s="21" t="n"/>
      <c r="C478" s="22">
        <f>IF($B478="","",IFERROR(INDEX(Clienti!$B:$B,MATCH($B478,Clienti!$A:$A,0)),"Codice non trovato"))</f>
        <v/>
      </c>
      <c r="D478" s="23" t="n"/>
      <c r="E478" s="21" t="n"/>
      <c r="F478" s="24" t="n"/>
      <c r="G478" s="24" t="n"/>
    </row>
    <row r="479" ht="15.75" customHeight="1">
      <c r="A479" s="20" t="n"/>
      <c r="B479" s="21" t="n"/>
      <c r="C479" s="22">
        <f>IF($B479="","",IFERROR(INDEX(Clienti!$B:$B,MATCH($B479,Clienti!$A:$A,0)),"Codice non trovato"))</f>
        <v/>
      </c>
      <c r="D479" s="23" t="n"/>
      <c r="E479" s="21" t="n"/>
      <c r="F479" s="24" t="n"/>
      <c r="G479" s="24" t="n"/>
    </row>
    <row r="480" ht="15.75" customHeight="1">
      <c r="A480" s="20" t="n"/>
      <c r="B480" s="21" t="n"/>
      <c r="C480" s="22">
        <f>IF($B480="","",IFERROR(INDEX(Clienti!$B:$B,MATCH($B480,Clienti!$A:$A,0)),"Codice non trovato"))</f>
        <v/>
      </c>
      <c r="D480" s="23" t="n"/>
      <c r="E480" s="21" t="n"/>
      <c r="F480" s="24" t="n"/>
      <c r="G480" s="24" t="n"/>
    </row>
    <row r="481" ht="15.75" customHeight="1">
      <c r="A481" s="20" t="n"/>
      <c r="B481" s="21" t="n"/>
      <c r="C481" s="22">
        <f>IF($B481="","",IFERROR(INDEX(Clienti!$B:$B,MATCH($B481,Clienti!$A:$A,0)),"Codice non trovato"))</f>
        <v/>
      </c>
      <c r="D481" s="23" t="n"/>
      <c r="E481" s="21" t="n"/>
      <c r="F481" s="24" t="n"/>
      <c r="G481" s="24" t="n"/>
    </row>
    <row r="482" ht="15.75" customHeight="1">
      <c r="A482" s="20" t="n"/>
      <c r="B482" s="21" t="n"/>
      <c r="C482" s="22">
        <f>IF($B482="","",IFERROR(INDEX(Clienti!$B:$B,MATCH($B482,Clienti!$A:$A,0)),"Codice non trovato"))</f>
        <v/>
      </c>
      <c r="D482" s="23" t="n"/>
      <c r="E482" s="21" t="n"/>
      <c r="F482" s="24" t="n"/>
      <c r="G482" s="24" t="n"/>
    </row>
    <row r="483" ht="15.75" customHeight="1">
      <c r="A483" s="20" t="n"/>
      <c r="B483" s="21" t="n"/>
      <c r="C483" s="22">
        <f>IF($B483="","",IFERROR(INDEX(Clienti!$B:$B,MATCH($B483,Clienti!$A:$A,0)),"Codice non trovato"))</f>
        <v/>
      </c>
      <c r="D483" s="23" t="n"/>
      <c r="E483" s="21" t="n"/>
      <c r="F483" s="24" t="n"/>
      <c r="G483" s="24" t="n"/>
    </row>
    <row r="484" ht="15.75" customHeight="1">
      <c r="A484" s="20" t="n"/>
      <c r="B484" s="21" t="n"/>
      <c r="C484" s="22">
        <f>IF($B484="","",IFERROR(INDEX(Clienti!$B:$B,MATCH($B484,Clienti!$A:$A,0)),"Codice non trovato"))</f>
        <v/>
      </c>
      <c r="D484" s="23" t="n"/>
      <c r="E484" s="21" t="n"/>
      <c r="F484" s="24" t="n"/>
      <c r="G484" s="24" t="n"/>
    </row>
    <row r="485" ht="15.75" customHeight="1">
      <c r="A485" s="20" t="n"/>
      <c r="B485" s="21" t="n"/>
      <c r="C485" s="22">
        <f>IF($B485="","",IFERROR(INDEX(Clienti!$B:$B,MATCH($B485,Clienti!$A:$A,0)),"Codice non trovato"))</f>
        <v/>
      </c>
      <c r="D485" s="23" t="n"/>
      <c r="E485" s="21" t="n"/>
      <c r="F485" s="24" t="n"/>
      <c r="G485" s="24" t="n"/>
    </row>
    <row r="486" ht="15.75" customHeight="1">
      <c r="A486" s="20" t="n"/>
      <c r="B486" s="21" t="n"/>
      <c r="C486" s="22">
        <f>IF($B486="","",IFERROR(INDEX(Clienti!$B:$B,MATCH($B486,Clienti!$A:$A,0)),"Codice non trovato"))</f>
        <v/>
      </c>
      <c r="D486" s="23" t="n"/>
      <c r="E486" s="21" t="n"/>
      <c r="F486" s="24" t="n"/>
      <c r="G486" s="24" t="n"/>
    </row>
    <row r="487" ht="15.75" customHeight="1">
      <c r="A487" s="20" t="n"/>
      <c r="B487" s="21" t="n"/>
      <c r="C487" s="22">
        <f>IF($B487="","",IFERROR(INDEX(Clienti!$B:$B,MATCH($B487,Clienti!$A:$A,0)),"Codice non trovato"))</f>
        <v/>
      </c>
      <c r="D487" s="23" t="n"/>
      <c r="E487" s="21" t="n"/>
      <c r="F487" s="24" t="n"/>
      <c r="G487" s="24" t="n"/>
    </row>
    <row r="488" ht="15.75" customHeight="1">
      <c r="A488" s="20" t="n"/>
      <c r="B488" s="21" t="n"/>
      <c r="C488" s="22">
        <f>IF($B488="","",IFERROR(INDEX(Clienti!$B:$B,MATCH($B488,Clienti!$A:$A,0)),"Codice non trovato"))</f>
        <v/>
      </c>
      <c r="D488" s="23" t="n"/>
      <c r="E488" s="21" t="n"/>
      <c r="F488" s="24" t="n"/>
      <c r="G488" s="24" t="n"/>
    </row>
    <row r="489" ht="15.75" customHeight="1">
      <c r="A489" s="20" t="n"/>
      <c r="B489" s="21" t="n"/>
      <c r="C489" s="22">
        <f>IF($B489="","",IFERROR(INDEX(Clienti!$B:$B,MATCH($B489,Clienti!$A:$A,0)),"Codice non trovato"))</f>
        <v/>
      </c>
      <c r="D489" s="23" t="n"/>
      <c r="E489" s="21" t="n"/>
      <c r="F489" s="24" t="n"/>
      <c r="G489" s="24" t="n"/>
    </row>
    <row r="490" ht="15.75" customHeight="1">
      <c r="A490" s="20" t="n"/>
      <c r="B490" s="21" t="n"/>
      <c r="C490" s="22">
        <f>IF($B490="","",IFERROR(INDEX(Clienti!$B:$B,MATCH($B490,Clienti!$A:$A,0)),"Codice non trovato"))</f>
        <v/>
      </c>
      <c r="D490" s="23" t="n"/>
      <c r="E490" s="21" t="n"/>
      <c r="F490" s="24" t="n"/>
      <c r="G490" s="24" t="n"/>
    </row>
    <row r="491" ht="15.75" customHeight="1">
      <c r="A491" s="20" t="n"/>
      <c r="B491" s="21" t="n"/>
      <c r="C491" s="22">
        <f>IF($B491="","",IFERROR(INDEX(Clienti!$B:$B,MATCH($B491,Clienti!$A:$A,0)),"Codice non trovato"))</f>
        <v/>
      </c>
      <c r="D491" s="23" t="n"/>
      <c r="E491" s="21" t="n"/>
      <c r="F491" s="24" t="n"/>
      <c r="G491" s="24" t="n"/>
    </row>
    <row r="492" ht="15.75" customHeight="1">
      <c r="A492" s="20" t="n"/>
      <c r="B492" s="21" t="n"/>
      <c r="C492" s="22">
        <f>IF($B492="","",IFERROR(INDEX(Clienti!$B:$B,MATCH($B492,Clienti!$A:$A,0)),"Codice non trovato"))</f>
        <v/>
      </c>
      <c r="D492" s="23" t="n"/>
      <c r="E492" s="21" t="n"/>
      <c r="F492" s="24" t="n"/>
      <c r="G492" s="24" t="n"/>
    </row>
    <row r="493" ht="15.75" customHeight="1">
      <c r="A493" s="20" t="n"/>
      <c r="B493" s="21" t="n"/>
      <c r="C493" s="22">
        <f>IF($B493="","",IFERROR(INDEX(Clienti!$B:$B,MATCH($B493,Clienti!$A:$A,0)),"Codice non trovato"))</f>
        <v/>
      </c>
      <c r="D493" s="23" t="n"/>
      <c r="E493" s="21" t="n"/>
      <c r="F493" s="24" t="n"/>
      <c r="G493" s="24" t="n"/>
    </row>
    <row r="494" ht="15.75" customHeight="1">
      <c r="A494" s="20" t="n"/>
      <c r="B494" s="21" t="n"/>
      <c r="C494" s="22">
        <f>IF($B494="","",IFERROR(INDEX(Clienti!$B:$B,MATCH($B494,Clienti!$A:$A,0)),"Codice non trovato"))</f>
        <v/>
      </c>
      <c r="D494" s="23" t="n"/>
      <c r="E494" s="21" t="n"/>
      <c r="F494" s="24" t="n"/>
      <c r="G494" s="24" t="n"/>
    </row>
    <row r="495" ht="15.75" customHeight="1">
      <c r="A495" s="20" t="n"/>
      <c r="B495" s="21" t="n"/>
      <c r="C495" s="22">
        <f>IF($B495="","",IFERROR(INDEX(Clienti!$B:$B,MATCH($B495,Clienti!$A:$A,0)),"Codice non trovato"))</f>
        <v/>
      </c>
      <c r="D495" s="23" t="n"/>
      <c r="E495" s="21" t="n"/>
      <c r="F495" s="24" t="n"/>
      <c r="G495" s="24" t="n"/>
    </row>
    <row r="496" ht="15.75" customHeight="1">
      <c r="A496" s="20" t="n"/>
      <c r="B496" s="21" t="n"/>
      <c r="C496" s="22">
        <f>IF($B496="","",IFERROR(INDEX(Clienti!$B:$B,MATCH($B496,Clienti!$A:$A,0)),"Codice non trovato"))</f>
        <v/>
      </c>
      <c r="D496" s="23" t="n"/>
      <c r="E496" s="21" t="n"/>
      <c r="F496" s="24" t="n"/>
      <c r="G496" s="24" t="n"/>
    </row>
    <row r="497" ht="15.75" customHeight="1">
      <c r="A497" s="20" t="n"/>
      <c r="B497" s="21" t="n"/>
      <c r="C497" s="22">
        <f>IF($B497="","",IFERROR(INDEX(Clienti!$B:$B,MATCH($B497,Clienti!$A:$A,0)),"Codice non trovato"))</f>
        <v/>
      </c>
      <c r="D497" s="23" t="n"/>
      <c r="E497" s="21" t="n"/>
      <c r="F497" s="24" t="n"/>
      <c r="G497" s="24" t="n"/>
    </row>
    <row r="498" ht="15.75" customHeight="1">
      <c r="A498" s="20" t="n"/>
      <c r="B498" s="21" t="n"/>
      <c r="C498" s="22">
        <f>IF($B498="","",IFERROR(INDEX(Clienti!$B:$B,MATCH($B498,Clienti!$A:$A,0)),"Codice non trovato"))</f>
        <v/>
      </c>
      <c r="D498" s="23" t="n"/>
      <c r="E498" s="21" t="n"/>
      <c r="F498" s="24" t="n"/>
      <c r="G498" s="24" t="n"/>
    </row>
    <row r="499" ht="15.75" customHeight="1">
      <c r="A499" s="20" t="n"/>
      <c r="B499" s="21" t="n"/>
      <c r="C499" s="22">
        <f>IF($B499="","",IFERROR(INDEX(Clienti!$B:$B,MATCH($B499,Clienti!$A:$A,0)),"Codice non trovato"))</f>
        <v/>
      </c>
      <c r="D499" s="23" t="n"/>
      <c r="E499" s="21" t="n"/>
      <c r="F499" s="24" t="n"/>
      <c r="G499" s="24" t="n"/>
    </row>
    <row r="500" ht="15.75" customHeight="1">
      <c r="A500" s="20" t="n"/>
      <c r="B500" s="21" t="n"/>
      <c r="C500" s="22">
        <f>IF($B500="","",IFERROR(INDEX(Clienti!$B:$B,MATCH($B500,Clienti!$A:$A,0)),"Codice non trovato"))</f>
        <v/>
      </c>
      <c r="D500" s="23" t="n"/>
      <c r="E500" s="21" t="n"/>
      <c r="F500" s="24" t="n"/>
      <c r="G500" s="24" t="n"/>
    </row>
    <row r="502">
      <c r="C502" s="5" t="inlineStr">
        <is>
          <t>TOTALE ACCONTI:</t>
        </is>
      </c>
      <c r="D502" s="25" t="n"/>
    </row>
  </sheetData>
  <mergeCells count="2">
    <mergeCell ref="A2:G2"/>
    <mergeCell ref="A1:G1"/>
  </mergeCells>
  <dataValidations count="1">
    <dataValidation sqref="E5:E500" showDropDown="0" showInputMessage="0" showErrorMessage="0" allowBlank="1" type="list">
      <formula1>"Bonifico Bancario,Contanti,Assegno,RID/SDD,Carta di Credito,PayPal,Altro"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2"/>
  <sheetViews>
    <sheetView zoomScaleNormal="100" workbookViewId="0">
      <pane ySplit="4" topLeftCell="A5" activePane="bottomLeft" state="frozen"/>
      <selection pane="bottomLeft" activeCell="F5" sqref="F5"/>
    </sheetView>
  </sheetViews>
  <sheetFormatPr baseColWidth="8" defaultColWidth="8.7109375" defaultRowHeight="15"/>
  <cols>
    <col width="12" customWidth="1" min="1" max="1"/>
    <col width="34" customWidth="1" min="2" max="2"/>
    <col width="16" customWidth="1" min="3" max="3"/>
    <col width="14" customWidth="1" min="4" max="5"/>
    <col width="12" customWidth="1" min="6" max="6"/>
    <col width="14" customWidth="1" min="7" max="7"/>
    <col width="30" customWidth="1" min="8" max="8"/>
  </cols>
  <sheetData>
    <row r="1" ht="25.5" customHeight="1">
      <c r="A1" s="28" t="inlineStr">
        <is>
          <t>REGISTRO INSOLUTI</t>
        </is>
      </c>
    </row>
    <row r="2" ht="15.75" customHeight="1">
      <c r="A2" s="29" t="inlineStr">
        <is>
          <t>Inserire un insoluto per riga. I giorni di ritardo si aggiornano automaticamente rispetto a oggi.</t>
        </is>
      </c>
    </row>
    <row r="4" ht="31.5" customHeight="1">
      <c r="A4" s="10" t="inlineStr">
        <is>
          <t>Codice
Cliente</t>
        </is>
      </c>
      <c r="B4" s="10" t="inlineStr">
        <is>
          <t>Ragione Sociale
(automatico)</t>
        </is>
      </c>
      <c r="C4" s="10" t="inlineStr">
        <is>
          <t>Periodo di
Fatturazione</t>
        </is>
      </c>
      <c r="D4" s="10" t="inlineStr">
        <is>
          <t>Data
Scadenza</t>
        </is>
      </c>
      <c r="E4" s="10" t="inlineStr">
        <is>
          <t>Importo
Insoluto €</t>
        </is>
      </c>
      <c r="F4" s="10" t="inlineStr">
        <is>
          <t>Giorni di
Ritardo</t>
        </is>
      </c>
      <c r="G4" s="10" t="inlineStr">
        <is>
          <t>Stato</t>
        </is>
      </c>
      <c r="H4" s="10" t="inlineStr">
        <is>
          <t>Note</t>
        </is>
      </c>
    </row>
    <row r="5" ht="15.75" customHeight="1">
      <c r="A5" s="11" t="n"/>
      <c r="B5" s="22">
        <f>IF($A5="","",IFERROR(INDEX(Clienti!$B:$B,MATCH($A5,Clienti!$A:$A,0)),"Codice non trovato"))</f>
        <v/>
      </c>
      <c r="C5" s="21" t="n"/>
      <c r="D5" s="32" t="n"/>
      <c r="E5" s="23" t="n"/>
      <c r="F5" s="26">
        <f>IF(OR($A5="",$D5=""),"",TODAY()-$D5)</f>
        <v/>
      </c>
      <c r="G5" s="26">
        <f>IF($A5="","",IF($E5=0,"Saldato","Aperto"))</f>
        <v/>
      </c>
      <c r="H5" s="24" t="n"/>
    </row>
    <row r="6" ht="15.75" customHeight="1">
      <c r="A6" s="18" t="n"/>
      <c r="B6" s="22">
        <f>IF($A6="","",IFERROR(INDEX(Clienti!$B:$B,MATCH($A6,Clienti!$A:$A,0)),"Codice non trovato"))</f>
        <v/>
      </c>
      <c r="C6" s="21" t="n"/>
      <c r="D6" s="32" t="n"/>
      <c r="E6" s="23" t="n"/>
      <c r="F6" s="26">
        <f>IF(OR($A6="",$D6=""),"",TODAY()-$D6)</f>
        <v/>
      </c>
      <c r="G6" s="26">
        <f>IF($A6="","",IF($E6=0,"Saldato","Aperto"))</f>
        <v/>
      </c>
      <c r="H6" s="24" t="n"/>
    </row>
    <row r="7" ht="15.75" customHeight="1">
      <c r="A7" s="11" t="n"/>
      <c r="B7" s="22">
        <f>IF($A7="","",IFERROR(INDEX(Clienti!$B:$B,MATCH($A7,Clienti!$A:$A,0)),"Codice non trovato"))</f>
        <v/>
      </c>
      <c r="C7" s="21" t="n"/>
      <c r="D7" s="32" t="n"/>
      <c r="E7" s="23" t="n"/>
      <c r="F7" s="26">
        <f>IF(OR($A7="",$D7=""),"",TODAY()-$D7)</f>
        <v/>
      </c>
      <c r="G7" s="26">
        <f>IF($A7="","",IF($E7=0,"Saldato","Aperto"))</f>
        <v/>
      </c>
      <c r="H7" s="24" t="n"/>
    </row>
    <row r="8" ht="15.75" customHeight="1">
      <c r="A8" s="18" t="n"/>
      <c r="B8" s="22">
        <f>IF($A8="","",IFERROR(INDEX(Clienti!$B:$B,MATCH($A8,Clienti!$A:$A,0)),"Codice non trovato"))</f>
        <v/>
      </c>
      <c r="C8" s="21" t="n"/>
      <c r="D8" s="32" t="n"/>
      <c r="E8" s="23" t="n"/>
      <c r="F8" s="26">
        <f>IF(OR($A8="",$D8=""),"",TODAY()-$D8)</f>
        <v/>
      </c>
      <c r="G8" s="26">
        <f>IF($A8="","",IF($E8=0,"Saldato","Aperto"))</f>
        <v/>
      </c>
      <c r="H8" s="24" t="n"/>
    </row>
    <row r="9" ht="15.75" customHeight="1">
      <c r="A9" s="11" t="n"/>
      <c r="B9" s="22">
        <f>IF($A9="","",IFERROR(INDEX(Clienti!$B:$B,MATCH($A9,Clienti!$A:$A,0)),"Codice non trovato"))</f>
        <v/>
      </c>
      <c r="C9" s="21" t="n"/>
      <c r="D9" s="32" t="n"/>
      <c r="E9" s="23" t="n"/>
      <c r="F9" s="26">
        <f>IF(OR($A9="",$D9=""),"",TODAY()-$D9)</f>
        <v/>
      </c>
      <c r="G9" s="26">
        <f>IF($A9="","",IF($E9=0,"Saldato","Aperto"))</f>
        <v/>
      </c>
      <c r="H9" s="24" t="n"/>
    </row>
    <row r="10" ht="15.75" customHeight="1">
      <c r="A10" s="18" t="n"/>
      <c r="B10" s="22">
        <f>IF($A10="","",IFERROR(INDEX(Clienti!$B:$B,MATCH($A10,Clienti!$A:$A,0)),"Codice non trovato"))</f>
        <v/>
      </c>
      <c r="C10" s="21" t="n"/>
      <c r="D10" s="32" t="n"/>
      <c r="E10" s="23" t="n"/>
      <c r="F10" s="26">
        <f>IF(OR($A10="",$D10=""),"",TODAY()-$D10)</f>
        <v/>
      </c>
      <c r="G10" s="26">
        <f>IF($A10="","",IF($E10=0,"Saldato","Aperto"))</f>
        <v/>
      </c>
      <c r="H10" s="24" t="n"/>
    </row>
    <row r="11" ht="15.75" customHeight="1">
      <c r="A11" s="11" t="n"/>
      <c r="B11" s="22">
        <f>IF($A11="","",IFERROR(INDEX(Clienti!$B:$B,MATCH($A11,Clienti!$A:$A,0)),"Codice non trovato"))</f>
        <v/>
      </c>
      <c r="C11" s="21" t="n"/>
      <c r="D11" s="32" t="n"/>
      <c r="E11" s="23" t="n"/>
      <c r="F11" s="26">
        <f>IF(OR($A11="",$D11=""),"",TODAY()-$D11)</f>
        <v/>
      </c>
      <c r="G11" s="26">
        <f>IF($A11="","",IF($E11=0,"Saldato","Aperto"))</f>
        <v/>
      </c>
      <c r="H11" s="24" t="n"/>
    </row>
    <row r="12" ht="15.75" customHeight="1">
      <c r="A12" s="18" t="n"/>
      <c r="B12" s="22">
        <f>IF($A12="","",IFERROR(INDEX(Clienti!$B:$B,MATCH($A12,Clienti!$A:$A,0)),"Codice non trovato"))</f>
        <v/>
      </c>
      <c r="C12" s="21" t="n"/>
      <c r="D12" s="32" t="n"/>
      <c r="E12" s="23" t="n"/>
      <c r="F12" s="26">
        <f>IF(OR($A12="",$D12=""),"",TODAY()-$D12)</f>
        <v/>
      </c>
      <c r="G12" s="26">
        <f>IF($A12="","",IF($E12=0,"Saldato","Aperto"))</f>
        <v/>
      </c>
      <c r="H12" s="24" t="n"/>
    </row>
    <row r="13" ht="15.75" customHeight="1">
      <c r="A13" s="11" t="n"/>
      <c r="B13" s="22">
        <f>IF($A13="","",IFERROR(INDEX(Clienti!$B:$B,MATCH($A13,Clienti!$A:$A,0)),"Codice non trovato"))</f>
        <v/>
      </c>
      <c r="C13" s="21" t="n"/>
      <c r="D13" s="32" t="n"/>
      <c r="E13" s="23" t="n"/>
      <c r="F13" s="26">
        <f>IF(OR($A13="",$D13=""),"",TODAY()-$D13)</f>
        <v/>
      </c>
      <c r="G13" s="26">
        <f>IF($A13="","",IF($E13=0,"Saldato","Aperto"))</f>
        <v/>
      </c>
      <c r="H13" s="24" t="n"/>
    </row>
    <row r="14" ht="15.75" customHeight="1">
      <c r="A14" s="18" t="n"/>
      <c r="B14" s="22">
        <f>IF($A14="","",IFERROR(INDEX(Clienti!$B:$B,MATCH($A14,Clienti!$A:$A,0)),"Codice non trovato"))</f>
        <v/>
      </c>
      <c r="C14" s="21" t="n"/>
      <c r="D14" s="32" t="n"/>
      <c r="E14" s="23" t="n"/>
      <c r="F14" s="26">
        <f>IF(OR($A14="",$D14=""),"",TODAY()-$D14)</f>
        <v/>
      </c>
      <c r="G14" s="26">
        <f>IF($A14="","",IF($E14=0,"Saldato","Aperto"))</f>
        <v/>
      </c>
      <c r="H14" s="24" t="n"/>
    </row>
    <row r="15" ht="15.75" customHeight="1">
      <c r="A15" s="11" t="n"/>
      <c r="B15" s="22">
        <f>IF($A15="","",IFERROR(INDEX(Clienti!$B:$B,MATCH($A15,Clienti!$A:$A,0)),"Codice non trovato"))</f>
        <v/>
      </c>
      <c r="C15" s="21" t="n"/>
      <c r="D15" s="32" t="n"/>
      <c r="E15" s="23" t="n"/>
      <c r="F15" s="26">
        <f>IF(OR($A15="",$D15=""),"",TODAY()-$D15)</f>
        <v/>
      </c>
      <c r="G15" s="26">
        <f>IF($A15="","",IF($E15=0,"Saldato","Aperto"))</f>
        <v/>
      </c>
      <c r="H15" s="24" t="n"/>
    </row>
    <row r="16" ht="15.75" customHeight="1">
      <c r="A16" s="18" t="n"/>
      <c r="B16" s="22">
        <f>IF($A16="","",IFERROR(INDEX(Clienti!$B:$B,MATCH($A16,Clienti!$A:$A,0)),"Codice non trovato"))</f>
        <v/>
      </c>
      <c r="C16" s="21" t="n"/>
      <c r="D16" s="32" t="n"/>
      <c r="E16" s="23" t="n"/>
      <c r="F16" s="26">
        <f>IF(OR($A16="",$D16=""),"",TODAY()-$D16)</f>
        <v/>
      </c>
      <c r="G16" s="26">
        <f>IF($A16="","",IF($E16=0,"Saldato","Aperto"))</f>
        <v/>
      </c>
      <c r="H16" s="24" t="n"/>
    </row>
    <row r="17" ht="15.75" customHeight="1">
      <c r="A17" s="11" t="n"/>
      <c r="B17" s="22">
        <f>IF($A17="","",IFERROR(INDEX(Clienti!$B:$B,MATCH($A17,Clienti!$A:$A,0)),"Codice non trovato"))</f>
        <v/>
      </c>
      <c r="C17" s="21" t="n"/>
      <c r="D17" s="32" t="n"/>
      <c r="E17" s="23" t="n"/>
      <c r="F17" s="26">
        <f>IF(OR($A17="",$D17=""),"",TODAY()-$D17)</f>
        <v/>
      </c>
      <c r="G17" s="26">
        <f>IF($A17="","",IF($E17=0,"Saldato","Aperto"))</f>
        <v/>
      </c>
      <c r="H17" s="24" t="n"/>
    </row>
    <row r="18" ht="15.75" customHeight="1">
      <c r="A18" s="18" t="n"/>
      <c r="B18" s="22">
        <f>IF($A18="","",IFERROR(INDEX(Clienti!$B:$B,MATCH($A18,Clienti!$A:$A,0)),"Codice non trovato"))</f>
        <v/>
      </c>
      <c r="C18" s="21" t="n"/>
      <c r="D18" s="32" t="n"/>
      <c r="E18" s="23" t="n"/>
      <c r="F18" s="26">
        <f>IF(OR($A18="",$D18=""),"",TODAY()-$D18)</f>
        <v/>
      </c>
      <c r="G18" s="26">
        <f>IF($A18="","",IF($E18=0,"Saldato","Aperto"))</f>
        <v/>
      </c>
      <c r="H18" s="24" t="n"/>
    </row>
    <row r="19" ht="15.75" customHeight="1">
      <c r="A19" s="11" t="n"/>
      <c r="B19" s="22">
        <f>IF($A19="","",IFERROR(INDEX(Clienti!$B:$B,MATCH($A19,Clienti!$A:$A,0)),"Codice non trovato"))</f>
        <v/>
      </c>
      <c r="C19" s="21" t="n"/>
      <c r="D19" s="32" t="n"/>
      <c r="E19" s="23" t="n"/>
      <c r="F19" s="26">
        <f>IF(OR($A19="",$D19=""),"",TODAY()-$D19)</f>
        <v/>
      </c>
      <c r="G19" s="26">
        <f>IF($A19="","",IF($E19=0,"Saldato","Aperto"))</f>
        <v/>
      </c>
      <c r="H19" s="24" t="n"/>
    </row>
    <row r="20" ht="15.75" customHeight="1">
      <c r="A20" s="18" t="n"/>
      <c r="B20" s="22">
        <f>IF($A20="","",IFERROR(INDEX(Clienti!$B:$B,MATCH($A20,Clienti!$A:$A,0)),"Codice non trovato"))</f>
        <v/>
      </c>
      <c r="C20" s="21" t="n"/>
      <c r="D20" s="32" t="n"/>
      <c r="E20" s="23" t="n"/>
      <c r="F20" s="26">
        <f>IF(OR($A20="",$D20=""),"",TODAY()-$D20)</f>
        <v/>
      </c>
      <c r="G20" s="26">
        <f>IF($A20="","",IF($E20=0,"Saldato","Aperto"))</f>
        <v/>
      </c>
      <c r="H20" s="24" t="n"/>
    </row>
    <row r="21" ht="15.75" customHeight="1">
      <c r="A21" s="11" t="n"/>
      <c r="B21" s="22">
        <f>IF($A21="","",IFERROR(INDEX(Clienti!$B:$B,MATCH($A21,Clienti!$A:$A,0)),"Codice non trovato"))</f>
        <v/>
      </c>
      <c r="C21" s="21" t="n"/>
      <c r="D21" s="32" t="n"/>
      <c r="E21" s="23" t="n"/>
      <c r="F21" s="26">
        <f>IF(OR($A21="",$D21=""),"",TODAY()-$D21)</f>
        <v/>
      </c>
      <c r="G21" s="26">
        <f>IF($A21="","",IF($E21=0,"Saldato","Aperto"))</f>
        <v/>
      </c>
      <c r="H21" s="24" t="n"/>
    </row>
    <row r="22" ht="15.75" customHeight="1">
      <c r="A22" s="18" t="n"/>
      <c r="B22" s="22">
        <f>IF($A22="","",IFERROR(INDEX(Clienti!$B:$B,MATCH($A22,Clienti!$A:$A,0)),"Codice non trovato"))</f>
        <v/>
      </c>
      <c r="C22" s="21" t="n"/>
      <c r="D22" s="32" t="n"/>
      <c r="E22" s="23" t="n"/>
      <c r="F22" s="26">
        <f>IF(OR($A22="",$D22=""),"",TODAY()-$D22)</f>
        <v/>
      </c>
      <c r="G22" s="26">
        <f>IF($A22="","",IF($E22=0,"Saldato","Aperto"))</f>
        <v/>
      </c>
      <c r="H22" s="24" t="n"/>
    </row>
    <row r="23" ht="15.75" customHeight="1">
      <c r="A23" s="11" t="n"/>
      <c r="B23" s="22">
        <f>IF($A23="","",IFERROR(INDEX(Clienti!$B:$B,MATCH($A23,Clienti!$A:$A,0)),"Codice non trovato"))</f>
        <v/>
      </c>
      <c r="C23" s="21" t="n"/>
      <c r="D23" s="32" t="n"/>
      <c r="E23" s="23" t="n"/>
      <c r="F23" s="26">
        <f>IF(OR($A23="",$D23=""),"",TODAY()-$D23)</f>
        <v/>
      </c>
      <c r="G23" s="26">
        <f>IF($A23="","",IF($E23=0,"Saldato","Aperto"))</f>
        <v/>
      </c>
      <c r="H23" s="24" t="n"/>
    </row>
    <row r="24" ht="15.75" customHeight="1">
      <c r="A24" s="18" t="n"/>
      <c r="B24" s="22">
        <f>IF($A24="","",IFERROR(INDEX(Clienti!$B:$B,MATCH($A24,Clienti!$A:$A,0)),"Codice non trovato"))</f>
        <v/>
      </c>
      <c r="C24" s="21" t="n"/>
      <c r="D24" s="32" t="n"/>
      <c r="E24" s="23" t="n"/>
      <c r="F24" s="26">
        <f>IF(OR($A24="",$D24=""),"",TODAY()-$D24)</f>
        <v/>
      </c>
      <c r="G24" s="26">
        <f>IF($A24="","",IF($E24=0,"Saldato","Aperto"))</f>
        <v/>
      </c>
      <c r="H24" s="24" t="n"/>
    </row>
    <row r="25" ht="15.75" customHeight="1">
      <c r="A25" s="11" t="n"/>
      <c r="B25" s="22">
        <f>IF($A25="","",IFERROR(INDEX(Clienti!$B:$B,MATCH($A25,Clienti!$A:$A,0)),"Codice non trovato"))</f>
        <v/>
      </c>
      <c r="C25" s="21" t="n"/>
      <c r="D25" s="32" t="n"/>
      <c r="E25" s="23" t="n"/>
      <c r="F25" s="26">
        <f>IF(OR($A25="",$D25=""),"",TODAY()-$D25)</f>
        <v/>
      </c>
      <c r="G25" s="26">
        <f>IF($A25="","",IF($E25=0,"Saldato","Aperto"))</f>
        <v/>
      </c>
      <c r="H25" s="24" t="n"/>
    </row>
    <row r="26" ht="15.75" customHeight="1">
      <c r="A26" s="18" t="n"/>
      <c r="B26" s="22">
        <f>IF($A26="","",IFERROR(INDEX(Clienti!$B:$B,MATCH($A26,Clienti!$A:$A,0)),"Codice non trovato"))</f>
        <v/>
      </c>
      <c r="C26" s="21" t="n"/>
      <c r="D26" s="32" t="n"/>
      <c r="E26" s="23" t="n"/>
      <c r="F26" s="26">
        <f>IF(OR($A26="",$D26=""),"",TODAY()-$D26)</f>
        <v/>
      </c>
      <c r="G26" s="26">
        <f>IF($A26="","",IF($E26=0,"Saldato","Aperto"))</f>
        <v/>
      </c>
      <c r="H26" s="24" t="n"/>
    </row>
    <row r="27" ht="15.75" customHeight="1">
      <c r="A27" s="11" t="n"/>
      <c r="B27" s="22">
        <f>IF($A27="","",IFERROR(INDEX(Clienti!$B:$B,MATCH($A27,Clienti!$A:$A,0)),"Codice non trovato"))</f>
        <v/>
      </c>
      <c r="C27" s="21" t="n"/>
      <c r="D27" s="32" t="n"/>
      <c r="E27" s="23" t="n"/>
      <c r="F27" s="26">
        <f>IF(OR($A27="",$D27=""),"",TODAY()-$D27)</f>
        <v/>
      </c>
      <c r="G27" s="26">
        <f>IF($A27="","",IF($E27=0,"Saldato","Aperto"))</f>
        <v/>
      </c>
      <c r="H27" s="24" t="n"/>
    </row>
    <row r="28" ht="15.75" customHeight="1">
      <c r="A28" s="18" t="n"/>
      <c r="B28" s="22">
        <f>IF($A28="","",IFERROR(INDEX(Clienti!$B:$B,MATCH($A28,Clienti!$A:$A,0)),"Codice non trovato"))</f>
        <v/>
      </c>
      <c r="C28" s="21" t="n"/>
      <c r="D28" s="32" t="n"/>
      <c r="E28" s="23" t="n"/>
      <c r="F28" s="26">
        <f>IF(OR($A28="",$D28=""),"",TODAY()-$D28)</f>
        <v/>
      </c>
      <c r="G28" s="26">
        <f>IF($A28="","",IF($E28=0,"Saldato","Aperto"))</f>
        <v/>
      </c>
      <c r="H28" s="24" t="n"/>
    </row>
    <row r="29" ht="15.75" customHeight="1">
      <c r="A29" s="11" t="n"/>
      <c r="B29" s="22">
        <f>IF($A29="","",IFERROR(INDEX(Clienti!$B:$B,MATCH($A29,Clienti!$A:$A,0)),"Codice non trovato"))</f>
        <v/>
      </c>
      <c r="C29" s="21" t="n"/>
      <c r="D29" s="32" t="n"/>
      <c r="E29" s="23" t="n"/>
      <c r="F29" s="26">
        <f>IF(OR($A29="",$D29=""),"",TODAY()-$D29)</f>
        <v/>
      </c>
      <c r="G29" s="26">
        <f>IF($A29="","",IF($E29=0,"Saldato","Aperto"))</f>
        <v/>
      </c>
      <c r="H29" s="24" t="n"/>
    </row>
    <row r="30" ht="15.75" customHeight="1">
      <c r="A30" s="18" t="n"/>
      <c r="B30" s="22">
        <f>IF($A30="","",IFERROR(INDEX(Clienti!$B:$B,MATCH($A30,Clienti!$A:$A,0)),"Codice non trovato"))</f>
        <v/>
      </c>
      <c r="C30" s="21" t="n"/>
      <c r="D30" s="32" t="n"/>
      <c r="E30" s="23" t="n"/>
      <c r="F30" s="26">
        <f>IF(OR($A30="",$D30=""),"",TODAY()-$D30)</f>
        <v/>
      </c>
      <c r="G30" s="26">
        <f>IF($A30="","",IF($E30=0,"Saldato","Aperto"))</f>
        <v/>
      </c>
      <c r="H30" s="24" t="n"/>
    </row>
    <row r="31" ht="15.75" customHeight="1">
      <c r="A31" s="11" t="n"/>
      <c r="B31" s="22">
        <f>IF($A31="","",IFERROR(INDEX(Clienti!$B:$B,MATCH($A31,Clienti!$A:$A,0)),"Codice non trovato"))</f>
        <v/>
      </c>
      <c r="C31" s="21" t="n"/>
      <c r="D31" s="32" t="n"/>
      <c r="E31" s="23" t="n"/>
      <c r="F31" s="26">
        <f>IF(OR($A31="",$D31=""),"",TODAY()-$D31)</f>
        <v/>
      </c>
      <c r="G31" s="26">
        <f>IF($A31="","",IF($E31=0,"Saldato","Aperto"))</f>
        <v/>
      </c>
      <c r="H31" s="24" t="n"/>
    </row>
    <row r="32" ht="15.75" customHeight="1">
      <c r="A32" s="18" t="n"/>
      <c r="B32" s="22">
        <f>IF($A32="","",IFERROR(INDEX(Clienti!$B:$B,MATCH($A32,Clienti!$A:$A,0)),"Codice non trovato"))</f>
        <v/>
      </c>
      <c r="C32" s="21" t="n"/>
      <c r="D32" s="32" t="n"/>
      <c r="E32" s="23" t="n"/>
      <c r="F32" s="26">
        <f>IF(OR($A32="",$D32=""),"",TODAY()-$D32)</f>
        <v/>
      </c>
      <c r="G32" s="26">
        <f>IF($A32="","",IF($E32=0,"Saldato","Aperto"))</f>
        <v/>
      </c>
      <c r="H32" s="24" t="n"/>
    </row>
    <row r="33" ht="15.75" customHeight="1">
      <c r="A33" s="11" t="n"/>
      <c r="B33" s="22">
        <f>IF($A33="","",IFERROR(INDEX(Clienti!$B:$B,MATCH($A33,Clienti!$A:$A,0)),"Codice non trovato"))</f>
        <v/>
      </c>
      <c r="C33" s="21" t="n"/>
      <c r="D33" s="32" t="n"/>
      <c r="E33" s="23" t="n"/>
      <c r="F33" s="26">
        <f>IF(OR($A33="",$D33=""),"",TODAY()-$D33)</f>
        <v/>
      </c>
      <c r="G33" s="26">
        <f>IF($A33="","",IF($E33=0,"Saldato","Aperto"))</f>
        <v/>
      </c>
      <c r="H33" s="24" t="n"/>
    </row>
    <row r="34" ht="15.75" customHeight="1">
      <c r="A34" s="18" t="n"/>
      <c r="B34" s="22">
        <f>IF($A34="","",IFERROR(INDEX(Clienti!$B:$B,MATCH($A34,Clienti!$A:$A,0)),"Codice non trovato"))</f>
        <v/>
      </c>
      <c r="C34" s="21" t="n"/>
      <c r="D34" s="32" t="n"/>
      <c r="E34" s="23" t="n"/>
      <c r="F34" s="26">
        <f>IF(OR($A34="",$D34=""),"",TODAY()-$D34)</f>
        <v/>
      </c>
      <c r="G34" s="26">
        <f>IF($A34="","",IF($E34=0,"Saldato","Aperto"))</f>
        <v/>
      </c>
      <c r="H34" s="24" t="n"/>
    </row>
    <row r="35" ht="15.75" customHeight="1">
      <c r="A35" s="11" t="n"/>
      <c r="B35" s="22">
        <f>IF($A35="","",IFERROR(INDEX(Clienti!$B:$B,MATCH($A35,Clienti!$A:$A,0)),"Codice non trovato"))</f>
        <v/>
      </c>
      <c r="C35" s="21" t="n"/>
      <c r="D35" s="32" t="n"/>
      <c r="E35" s="23" t="n"/>
      <c r="F35" s="26">
        <f>IF(OR($A35="",$D35=""),"",TODAY()-$D35)</f>
        <v/>
      </c>
      <c r="G35" s="26">
        <f>IF($A35="","",IF($E35=0,"Saldato","Aperto"))</f>
        <v/>
      </c>
      <c r="H35" s="24" t="n"/>
    </row>
    <row r="36" ht="15.75" customHeight="1">
      <c r="A36" s="18" t="n"/>
      <c r="B36" s="22">
        <f>IF($A36="","",IFERROR(INDEX(Clienti!$B:$B,MATCH($A36,Clienti!$A:$A,0)),"Codice non trovato"))</f>
        <v/>
      </c>
      <c r="C36" s="21" t="n"/>
      <c r="D36" s="32" t="n"/>
      <c r="E36" s="23" t="n"/>
      <c r="F36" s="26">
        <f>IF(OR($A36="",$D36=""),"",TODAY()-$D36)</f>
        <v/>
      </c>
      <c r="G36" s="26">
        <f>IF($A36="","",IF($E36=0,"Saldato","Aperto"))</f>
        <v/>
      </c>
      <c r="H36" s="24" t="n"/>
    </row>
    <row r="37" ht="15.75" customHeight="1">
      <c r="A37" s="11" t="n"/>
      <c r="B37" s="22">
        <f>IF($A37="","",IFERROR(INDEX(Clienti!$B:$B,MATCH($A37,Clienti!$A:$A,0)),"Codice non trovato"))</f>
        <v/>
      </c>
      <c r="C37" s="21" t="n"/>
      <c r="D37" s="32" t="n"/>
      <c r="E37" s="23" t="n"/>
      <c r="F37" s="26">
        <f>IF(OR($A37="",$D37=""),"",TODAY()-$D37)</f>
        <v/>
      </c>
      <c r="G37" s="26">
        <f>IF($A37="","",IF($E37=0,"Saldato","Aperto"))</f>
        <v/>
      </c>
      <c r="H37" s="24" t="n"/>
    </row>
    <row r="38" ht="15.75" customHeight="1">
      <c r="A38" s="18" t="n"/>
      <c r="B38" s="22">
        <f>IF($A38="","",IFERROR(INDEX(Clienti!$B:$B,MATCH($A38,Clienti!$A:$A,0)),"Codice non trovato"))</f>
        <v/>
      </c>
      <c r="C38" s="21" t="n"/>
      <c r="D38" s="32" t="n"/>
      <c r="E38" s="23" t="n"/>
      <c r="F38" s="26">
        <f>IF(OR($A38="",$D38=""),"",TODAY()-$D38)</f>
        <v/>
      </c>
      <c r="G38" s="26">
        <f>IF($A38="","",IF($E38=0,"Saldato","Aperto"))</f>
        <v/>
      </c>
      <c r="H38" s="24" t="n"/>
    </row>
    <row r="39" ht="15.75" customHeight="1">
      <c r="A39" s="11" t="n"/>
      <c r="B39" s="22">
        <f>IF($A39="","",IFERROR(INDEX(Clienti!$B:$B,MATCH($A39,Clienti!$A:$A,0)),"Codice non trovato"))</f>
        <v/>
      </c>
      <c r="C39" s="21" t="n"/>
      <c r="D39" s="32" t="n"/>
      <c r="E39" s="23" t="n"/>
      <c r="F39" s="26">
        <f>IF(OR($A39="",$D39=""),"",TODAY()-$D39)</f>
        <v/>
      </c>
      <c r="G39" s="26">
        <f>IF($A39="","",IF($E39=0,"Saldato","Aperto"))</f>
        <v/>
      </c>
      <c r="H39" s="24" t="n"/>
    </row>
    <row r="40" ht="15.75" customHeight="1">
      <c r="A40" s="18" t="n"/>
      <c r="B40" s="22">
        <f>IF($A40="","",IFERROR(INDEX(Clienti!$B:$B,MATCH($A40,Clienti!$A:$A,0)),"Codice non trovato"))</f>
        <v/>
      </c>
      <c r="C40" s="21" t="n"/>
      <c r="D40" s="32" t="n"/>
      <c r="E40" s="23" t="n"/>
      <c r="F40" s="26">
        <f>IF(OR($A40="",$D40=""),"",TODAY()-$D40)</f>
        <v/>
      </c>
      <c r="G40" s="26">
        <f>IF($A40="","",IF($E40=0,"Saldato","Aperto"))</f>
        <v/>
      </c>
      <c r="H40" s="24" t="n"/>
    </row>
    <row r="41" ht="15.75" customHeight="1">
      <c r="A41" s="11" t="n"/>
      <c r="B41" s="22">
        <f>IF($A41="","",IFERROR(INDEX(Clienti!$B:$B,MATCH($A41,Clienti!$A:$A,0)),"Codice non trovato"))</f>
        <v/>
      </c>
      <c r="C41" s="21" t="n"/>
      <c r="D41" s="32" t="n"/>
      <c r="E41" s="23" t="n"/>
      <c r="F41" s="26">
        <f>IF(OR($A41="",$D41=""),"",TODAY()-$D41)</f>
        <v/>
      </c>
      <c r="G41" s="26">
        <f>IF($A41="","",IF($E41=0,"Saldato","Aperto"))</f>
        <v/>
      </c>
      <c r="H41" s="24" t="n"/>
    </row>
    <row r="42" ht="15.75" customHeight="1">
      <c r="A42" s="18" t="n"/>
      <c r="B42" s="22">
        <f>IF($A42="","",IFERROR(INDEX(Clienti!$B:$B,MATCH($A42,Clienti!$A:$A,0)),"Codice non trovato"))</f>
        <v/>
      </c>
      <c r="C42" s="21" t="n"/>
      <c r="D42" s="32" t="n"/>
      <c r="E42" s="23" t="n"/>
      <c r="F42" s="26">
        <f>IF(OR($A42="",$D42=""),"",TODAY()-$D42)</f>
        <v/>
      </c>
      <c r="G42" s="26">
        <f>IF($A42="","",IF($E42=0,"Saldato","Aperto"))</f>
        <v/>
      </c>
      <c r="H42" s="24" t="n"/>
    </row>
    <row r="43" ht="15.75" customHeight="1">
      <c r="A43" s="11" t="n"/>
      <c r="B43" s="22">
        <f>IF($A43="","",IFERROR(INDEX(Clienti!$B:$B,MATCH($A43,Clienti!$A:$A,0)),"Codice non trovato"))</f>
        <v/>
      </c>
      <c r="C43" s="21" t="n"/>
      <c r="D43" s="32" t="n"/>
      <c r="E43" s="23" t="n"/>
      <c r="F43" s="26">
        <f>IF(OR($A43="",$D43=""),"",TODAY()-$D43)</f>
        <v/>
      </c>
      <c r="G43" s="26">
        <f>IF($A43="","",IF($E43=0,"Saldato","Aperto"))</f>
        <v/>
      </c>
      <c r="H43" s="24" t="n"/>
    </row>
    <row r="44" ht="15.75" customHeight="1">
      <c r="A44" s="18" t="n"/>
      <c r="B44" s="22">
        <f>IF($A44="","",IFERROR(INDEX(Clienti!$B:$B,MATCH($A44,Clienti!$A:$A,0)),"Codice non trovato"))</f>
        <v/>
      </c>
      <c r="C44" s="21" t="n"/>
      <c r="D44" s="32" t="n"/>
      <c r="E44" s="23" t="n"/>
      <c r="F44" s="26">
        <f>IF(OR($A44="",$D44=""),"",TODAY()-$D44)</f>
        <v/>
      </c>
      <c r="G44" s="26">
        <f>IF($A44="","",IF($E44=0,"Saldato","Aperto"))</f>
        <v/>
      </c>
      <c r="H44" s="24" t="n"/>
    </row>
    <row r="45" ht="15.75" customHeight="1">
      <c r="A45" s="11" t="n"/>
      <c r="B45" s="22">
        <f>IF($A45="","",IFERROR(INDEX(Clienti!$B:$B,MATCH($A45,Clienti!$A:$A,0)),"Codice non trovato"))</f>
        <v/>
      </c>
      <c r="C45" s="21" t="n"/>
      <c r="D45" s="32" t="n"/>
      <c r="E45" s="23" t="n"/>
      <c r="F45" s="26">
        <f>IF(OR($A45="",$D45=""),"",TODAY()-$D45)</f>
        <v/>
      </c>
      <c r="G45" s="26">
        <f>IF($A45="","",IF($E45=0,"Saldato","Aperto"))</f>
        <v/>
      </c>
      <c r="H45" s="24" t="n"/>
    </row>
    <row r="46" ht="15.75" customHeight="1">
      <c r="A46" s="18" t="n"/>
      <c r="B46" s="22">
        <f>IF($A46="","",IFERROR(INDEX(Clienti!$B:$B,MATCH($A46,Clienti!$A:$A,0)),"Codice non trovato"))</f>
        <v/>
      </c>
      <c r="C46" s="21" t="n"/>
      <c r="D46" s="32" t="n"/>
      <c r="E46" s="23" t="n"/>
      <c r="F46" s="26">
        <f>IF(OR($A46="",$D46=""),"",TODAY()-$D46)</f>
        <v/>
      </c>
      <c r="G46" s="26">
        <f>IF($A46="","",IF($E46=0,"Saldato","Aperto"))</f>
        <v/>
      </c>
      <c r="H46" s="24" t="n"/>
    </row>
    <row r="47" ht="15.75" customHeight="1">
      <c r="A47" s="11" t="n"/>
      <c r="B47" s="22">
        <f>IF($A47="","",IFERROR(INDEX(Clienti!$B:$B,MATCH($A47,Clienti!$A:$A,0)),"Codice non trovato"))</f>
        <v/>
      </c>
      <c r="C47" s="21" t="n"/>
      <c r="D47" s="32" t="n"/>
      <c r="E47" s="23" t="n"/>
      <c r="F47" s="26">
        <f>IF(OR($A47="",$D47=""),"",TODAY()-$D47)</f>
        <v/>
      </c>
      <c r="G47" s="26">
        <f>IF($A47="","",IF($E47=0,"Saldato","Aperto"))</f>
        <v/>
      </c>
      <c r="H47" s="24" t="n"/>
    </row>
    <row r="48" ht="15.75" customHeight="1">
      <c r="A48" s="18" t="n"/>
      <c r="B48" s="22">
        <f>IF($A48="","",IFERROR(INDEX(Clienti!$B:$B,MATCH($A48,Clienti!$A:$A,0)),"Codice non trovato"))</f>
        <v/>
      </c>
      <c r="C48" s="21" t="n"/>
      <c r="D48" s="32" t="n"/>
      <c r="E48" s="23" t="n"/>
      <c r="F48" s="26">
        <f>IF(OR($A48="",$D48=""),"",TODAY()-$D48)</f>
        <v/>
      </c>
      <c r="G48" s="26">
        <f>IF($A48="","",IF($E48=0,"Saldato","Aperto"))</f>
        <v/>
      </c>
      <c r="H48" s="24" t="n"/>
    </row>
    <row r="49" ht="15.75" customHeight="1">
      <c r="A49" s="11" t="n"/>
      <c r="B49" s="22">
        <f>IF($A49="","",IFERROR(INDEX(Clienti!$B:$B,MATCH($A49,Clienti!$A:$A,0)),"Codice non trovato"))</f>
        <v/>
      </c>
      <c r="C49" s="21" t="n"/>
      <c r="D49" s="32" t="n"/>
      <c r="E49" s="23" t="n"/>
      <c r="F49" s="26">
        <f>IF(OR($A49="",$D49=""),"",TODAY()-$D49)</f>
        <v/>
      </c>
      <c r="G49" s="26">
        <f>IF($A49="","",IF($E49=0,"Saldato","Aperto"))</f>
        <v/>
      </c>
      <c r="H49" s="24" t="n"/>
    </row>
    <row r="50" ht="15.75" customHeight="1">
      <c r="A50" s="18" t="n"/>
      <c r="B50" s="22">
        <f>IF($A50="","",IFERROR(INDEX(Clienti!$B:$B,MATCH($A50,Clienti!$A:$A,0)),"Codice non trovato"))</f>
        <v/>
      </c>
      <c r="C50" s="21" t="n"/>
      <c r="D50" s="32" t="n"/>
      <c r="E50" s="23" t="n"/>
      <c r="F50" s="26">
        <f>IF(OR($A50="",$D50=""),"",TODAY()-$D50)</f>
        <v/>
      </c>
      <c r="G50" s="26">
        <f>IF($A50="","",IF($E50=0,"Saldato","Aperto"))</f>
        <v/>
      </c>
      <c r="H50" s="24" t="n"/>
    </row>
    <row r="51" ht="15.75" customHeight="1">
      <c r="A51" s="11" t="n"/>
      <c r="B51" s="22">
        <f>IF($A51="","",IFERROR(INDEX(Clienti!$B:$B,MATCH($A51,Clienti!$A:$A,0)),"Codice non trovato"))</f>
        <v/>
      </c>
      <c r="C51" s="21" t="n"/>
      <c r="D51" s="32" t="n"/>
      <c r="E51" s="23" t="n"/>
      <c r="F51" s="26">
        <f>IF(OR($A51="",$D51=""),"",TODAY()-$D51)</f>
        <v/>
      </c>
      <c r="G51" s="26">
        <f>IF($A51="","",IF($E51=0,"Saldato","Aperto"))</f>
        <v/>
      </c>
      <c r="H51" s="24" t="n"/>
    </row>
    <row r="52" ht="15.75" customHeight="1">
      <c r="A52" s="18" t="n"/>
      <c r="B52" s="22">
        <f>IF($A52="","",IFERROR(INDEX(Clienti!$B:$B,MATCH($A52,Clienti!$A:$A,0)),"Codice non trovato"))</f>
        <v/>
      </c>
      <c r="C52" s="21" t="n"/>
      <c r="D52" s="32" t="n"/>
      <c r="E52" s="23" t="n"/>
      <c r="F52" s="26">
        <f>IF(OR($A52="",$D52=""),"",TODAY()-$D52)</f>
        <v/>
      </c>
      <c r="G52" s="26">
        <f>IF($A52="","",IF($E52=0,"Saldato","Aperto"))</f>
        <v/>
      </c>
      <c r="H52" s="24" t="n"/>
    </row>
    <row r="53" ht="15.75" customHeight="1">
      <c r="A53" s="11" t="n"/>
      <c r="B53" s="22">
        <f>IF($A53="","",IFERROR(INDEX(Clienti!$B:$B,MATCH($A53,Clienti!$A:$A,0)),"Codice non trovato"))</f>
        <v/>
      </c>
      <c r="C53" s="21" t="n"/>
      <c r="D53" s="32" t="n"/>
      <c r="E53" s="23" t="n"/>
      <c r="F53" s="26">
        <f>IF(OR($A53="",$D53=""),"",TODAY()-$D53)</f>
        <v/>
      </c>
      <c r="G53" s="26">
        <f>IF($A53="","",IF($E53=0,"Saldato","Aperto"))</f>
        <v/>
      </c>
      <c r="H53" s="24" t="n"/>
    </row>
    <row r="54" ht="15.75" customHeight="1">
      <c r="A54" s="18" t="n"/>
      <c r="B54" s="22">
        <f>IF($A54="","",IFERROR(INDEX(Clienti!$B:$B,MATCH($A54,Clienti!$A:$A,0)),"Codice non trovato"))</f>
        <v/>
      </c>
      <c r="C54" s="21" t="n"/>
      <c r="D54" s="32" t="n"/>
      <c r="E54" s="23" t="n"/>
      <c r="F54" s="26">
        <f>IF(OR($A54="",$D54=""),"",TODAY()-$D54)</f>
        <v/>
      </c>
      <c r="G54" s="26">
        <f>IF($A54="","",IF($E54=0,"Saldato","Aperto"))</f>
        <v/>
      </c>
      <c r="H54" s="24" t="n"/>
    </row>
    <row r="55" ht="15.75" customHeight="1">
      <c r="A55" s="11" t="n"/>
      <c r="B55" s="22">
        <f>IF($A55="","",IFERROR(INDEX(Clienti!$B:$B,MATCH($A55,Clienti!$A:$A,0)),"Codice non trovato"))</f>
        <v/>
      </c>
      <c r="C55" s="21" t="n"/>
      <c r="D55" s="32" t="n"/>
      <c r="E55" s="23" t="n"/>
      <c r="F55" s="26">
        <f>IF(OR($A55="",$D55=""),"",TODAY()-$D55)</f>
        <v/>
      </c>
      <c r="G55" s="26">
        <f>IF($A55="","",IF($E55=0,"Saldato","Aperto"))</f>
        <v/>
      </c>
      <c r="H55" s="24" t="n"/>
    </row>
    <row r="56" ht="15.75" customHeight="1">
      <c r="A56" s="18" t="n"/>
      <c r="B56" s="22">
        <f>IF($A56="","",IFERROR(INDEX(Clienti!$B:$B,MATCH($A56,Clienti!$A:$A,0)),"Codice non trovato"))</f>
        <v/>
      </c>
      <c r="C56" s="21" t="n"/>
      <c r="D56" s="32" t="n"/>
      <c r="E56" s="23" t="n"/>
      <c r="F56" s="26">
        <f>IF(OR($A56="",$D56=""),"",TODAY()-$D56)</f>
        <v/>
      </c>
      <c r="G56" s="26">
        <f>IF($A56="","",IF($E56=0,"Saldato","Aperto"))</f>
        <v/>
      </c>
      <c r="H56" s="24" t="n"/>
    </row>
    <row r="57" ht="15.75" customHeight="1">
      <c r="A57" s="11" t="n"/>
      <c r="B57" s="22">
        <f>IF($A57="","",IFERROR(INDEX(Clienti!$B:$B,MATCH($A57,Clienti!$A:$A,0)),"Codice non trovato"))</f>
        <v/>
      </c>
      <c r="C57" s="21" t="n"/>
      <c r="D57" s="32" t="n"/>
      <c r="E57" s="23" t="n"/>
      <c r="F57" s="26">
        <f>IF(OR($A57="",$D57=""),"",TODAY()-$D57)</f>
        <v/>
      </c>
      <c r="G57" s="26">
        <f>IF($A57="","",IF($E57=0,"Saldato","Aperto"))</f>
        <v/>
      </c>
      <c r="H57" s="24" t="n"/>
    </row>
    <row r="58" ht="15.75" customHeight="1">
      <c r="A58" s="18" t="n"/>
      <c r="B58" s="22">
        <f>IF($A58="","",IFERROR(INDEX(Clienti!$B:$B,MATCH($A58,Clienti!$A:$A,0)),"Codice non trovato"))</f>
        <v/>
      </c>
      <c r="C58" s="21" t="n"/>
      <c r="D58" s="32" t="n"/>
      <c r="E58" s="23" t="n"/>
      <c r="F58" s="26">
        <f>IF(OR($A58="",$D58=""),"",TODAY()-$D58)</f>
        <v/>
      </c>
      <c r="G58" s="26">
        <f>IF($A58="","",IF($E58=0,"Saldato","Aperto"))</f>
        <v/>
      </c>
      <c r="H58" s="24" t="n"/>
    </row>
    <row r="59" ht="15.75" customHeight="1">
      <c r="A59" s="11" t="n"/>
      <c r="B59" s="22">
        <f>IF($A59="","",IFERROR(INDEX(Clienti!$B:$B,MATCH($A59,Clienti!$A:$A,0)),"Codice non trovato"))</f>
        <v/>
      </c>
      <c r="C59" s="21" t="n"/>
      <c r="D59" s="32" t="n"/>
      <c r="E59" s="23" t="n"/>
      <c r="F59" s="26">
        <f>IF(OR($A59="",$D59=""),"",TODAY()-$D59)</f>
        <v/>
      </c>
      <c r="G59" s="26">
        <f>IF($A59="","",IF($E59=0,"Saldato","Aperto"))</f>
        <v/>
      </c>
      <c r="H59" s="24" t="n"/>
    </row>
    <row r="60" ht="15.75" customHeight="1">
      <c r="A60" s="18" t="n"/>
      <c r="B60" s="22">
        <f>IF($A60="","",IFERROR(INDEX(Clienti!$B:$B,MATCH($A60,Clienti!$A:$A,0)),"Codice non trovato"))</f>
        <v/>
      </c>
      <c r="C60" s="21" t="n"/>
      <c r="D60" s="32" t="n"/>
      <c r="E60" s="23" t="n"/>
      <c r="F60" s="26">
        <f>IF(OR($A60="",$D60=""),"",TODAY()-$D60)</f>
        <v/>
      </c>
      <c r="G60" s="26">
        <f>IF($A60="","",IF($E60=0,"Saldato","Aperto"))</f>
        <v/>
      </c>
      <c r="H60" s="24" t="n"/>
    </row>
    <row r="61" ht="15.75" customHeight="1">
      <c r="A61" s="11" t="n"/>
      <c r="B61" s="22">
        <f>IF($A61="","",IFERROR(INDEX(Clienti!$B:$B,MATCH($A61,Clienti!$A:$A,0)),"Codice non trovato"))</f>
        <v/>
      </c>
      <c r="C61" s="21" t="n"/>
      <c r="D61" s="32" t="n"/>
      <c r="E61" s="23" t="n"/>
      <c r="F61" s="26">
        <f>IF(OR($A61="",$D61=""),"",TODAY()-$D61)</f>
        <v/>
      </c>
      <c r="G61" s="26">
        <f>IF($A61="","",IF($E61=0,"Saldato","Aperto"))</f>
        <v/>
      </c>
      <c r="H61" s="24" t="n"/>
    </row>
    <row r="62" ht="15.75" customHeight="1">
      <c r="A62" s="18" t="n"/>
      <c r="B62" s="22">
        <f>IF($A62="","",IFERROR(INDEX(Clienti!$B:$B,MATCH($A62,Clienti!$A:$A,0)),"Codice non trovato"))</f>
        <v/>
      </c>
      <c r="C62" s="21" t="n"/>
      <c r="D62" s="32" t="n"/>
      <c r="E62" s="23" t="n"/>
      <c r="F62" s="26">
        <f>IF(OR($A62="",$D62=""),"",TODAY()-$D62)</f>
        <v/>
      </c>
      <c r="G62" s="26">
        <f>IF($A62="","",IF($E62=0,"Saldato","Aperto"))</f>
        <v/>
      </c>
      <c r="H62" s="24" t="n"/>
    </row>
    <row r="63" ht="15.75" customHeight="1">
      <c r="A63" s="11" t="n"/>
      <c r="B63" s="22">
        <f>IF($A63="","",IFERROR(INDEX(Clienti!$B:$B,MATCH($A63,Clienti!$A:$A,0)),"Codice non trovato"))</f>
        <v/>
      </c>
      <c r="C63" s="21" t="n"/>
      <c r="D63" s="32" t="n"/>
      <c r="E63" s="23" t="n"/>
      <c r="F63" s="26">
        <f>IF(OR($A63="",$D63=""),"",TODAY()-$D63)</f>
        <v/>
      </c>
      <c r="G63" s="26">
        <f>IF($A63="","",IF($E63=0,"Saldato","Aperto"))</f>
        <v/>
      </c>
      <c r="H63" s="24" t="n"/>
    </row>
    <row r="64" ht="15.75" customHeight="1">
      <c r="A64" s="18" t="n"/>
      <c r="B64" s="22">
        <f>IF($A64="","",IFERROR(INDEX(Clienti!$B:$B,MATCH($A64,Clienti!$A:$A,0)),"Codice non trovato"))</f>
        <v/>
      </c>
      <c r="C64" s="21" t="n"/>
      <c r="D64" s="32" t="n"/>
      <c r="E64" s="23" t="n"/>
      <c r="F64" s="26">
        <f>IF(OR($A64="",$D64=""),"",TODAY()-$D64)</f>
        <v/>
      </c>
      <c r="G64" s="26">
        <f>IF($A64="","",IF($E64=0,"Saldato","Aperto"))</f>
        <v/>
      </c>
      <c r="H64" s="24" t="n"/>
    </row>
    <row r="65" ht="15.75" customHeight="1">
      <c r="A65" s="11" t="n"/>
      <c r="B65" s="22">
        <f>IF($A65="","",IFERROR(INDEX(Clienti!$B:$B,MATCH($A65,Clienti!$A:$A,0)),"Codice non trovato"))</f>
        <v/>
      </c>
      <c r="C65" s="21" t="n"/>
      <c r="D65" s="32" t="n"/>
      <c r="E65" s="23" t="n"/>
      <c r="F65" s="26">
        <f>IF(OR($A65="",$D65=""),"",TODAY()-$D65)</f>
        <v/>
      </c>
      <c r="G65" s="26">
        <f>IF($A65="","",IF($E65=0,"Saldato","Aperto"))</f>
        <v/>
      </c>
      <c r="H65" s="24" t="n"/>
    </row>
    <row r="66" ht="15.75" customHeight="1">
      <c r="A66" s="18" t="n"/>
      <c r="B66" s="22">
        <f>IF($A66="","",IFERROR(INDEX(Clienti!$B:$B,MATCH($A66,Clienti!$A:$A,0)),"Codice non trovato"))</f>
        <v/>
      </c>
      <c r="C66" s="21" t="n"/>
      <c r="D66" s="32" t="n"/>
      <c r="E66" s="23" t="n"/>
      <c r="F66" s="26">
        <f>IF(OR($A66="",$D66=""),"",TODAY()-$D66)</f>
        <v/>
      </c>
      <c r="G66" s="26">
        <f>IF($A66="","",IF($E66=0,"Saldato","Aperto"))</f>
        <v/>
      </c>
      <c r="H66" s="24" t="n"/>
    </row>
    <row r="67" ht="15.75" customHeight="1">
      <c r="A67" s="11" t="n"/>
      <c r="B67" s="22">
        <f>IF($A67="","",IFERROR(INDEX(Clienti!$B:$B,MATCH($A67,Clienti!$A:$A,0)),"Codice non trovato"))</f>
        <v/>
      </c>
      <c r="C67" s="21" t="n"/>
      <c r="D67" s="32" t="n"/>
      <c r="E67" s="23" t="n"/>
      <c r="F67" s="26">
        <f>IF(OR($A67="",$D67=""),"",TODAY()-$D67)</f>
        <v/>
      </c>
      <c r="G67" s="26">
        <f>IF($A67="","",IF($E67=0,"Saldato","Aperto"))</f>
        <v/>
      </c>
      <c r="H67" s="24" t="n"/>
    </row>
    <row r="68" ht="15.75" customHeight="1">
      <c r="A68" s="18" t="n"/>
      <c r="B68" s="22">
        <f>IF($A68="","",IFERROR(INDEX(Clienti!$B:$B,MATCH($A68,Clienti!$A:$A,0)),"Codice non trovato"))</f>
        <v/>
      </c>
      <c r="C68" s="21" t="n"/>
      <c r="D68" s="32" t="n"/>
      <c r="E68" s="23" t="n"/>
      <c r="F68" s="26">
        <f>IF(OR($A68="",$D68=""),"",TODAY()-$D68)</f>
        <v/>
      </c>
      <c r="G68" s="26">
        <f>IF($A68="","",IF($E68=0,"Saldato","Aperto"))</f>
        <v/>
      </c>
      <c r="H68" s="24" t="n"/>
    </row>
    <row r="69" ht="15.75" customHeight="1">
      <c r="A69" s="11" t="n"/>
      <c r="B69" s="22">
        <f>IF($A69="","",IFERROR(INDEX(Clienti!$B:$B,MATCH($A69,Clienti!$A:$A,0)),"Codice non trovato"))</f>
        <v/>
      </c>
      <c r="C69" s="21" t="n"/>
      <c r="D69" s="32" t="n"/>
      <c r="E69" s="23" t="n"/>
      <c r="F69" s="26">
        <f>IF(OR($A69="",$D69=""),"",TODAY()-$D69)</f>
        <v/>
      </c>
      <c r="G69" s="26">
        <f>IF($A69="","",IF($E69=0,"Saldato","Aperto"))</f>
        <v/>
      </c>
      <c r="H69" s="24" t="n"/>
    </row>
    <row r="70" ht="15.75" customHeight="1">
      <c r="A70" s="18" t="n"/>
      <c r="B70" s="22">
        <f>IF($A70="","",IFERROR(INDEX(Clienti!$B:$B,MATCH($A70,Clienti!$A:$A,0)),"Codice non trovato"))</f>
        <v/>
      </c>
      <c r="C70" s="21" t="n"/>
      <c r="D70" s="32" t="n"/>
      <c r="E70" s="23" t="n"/>
      <c r="F70" s="26">
        <f>IF(OR($A70="",$D70=""),"",TODAY()-$D70)</f>
        <v/>
      </c>
      <c r="G70" s="26">
        <f>IF($A70="","",IF($E70=0,"Saldato","Aperto"))</f>
        <v/>
      </c>
      <c r="H70" s="24" t="n"/>
    </row>
    <row r="71" ht="15.75" customHeight="1">
      <c r="A71" s="11" t="n"/>
      <c r="B71" s="22">
        <f>IF($A71="","",IFERROR(INDEX(Clienti!$B:$B,MATCH($A71,Clienti!$A:$A,0)),"Codice non trovato"))</f>
        <v/>
      </c>
      <c r="C71" s="21" t="n"/>
      <c r="D71" s="32" t="n"/>
      <c r="E71" s="23" t="n"/>
      <c r="F71" s="26">
        <f>IF(OR($A71="",$D71=""),"",TODAY()-$D71)</f>
        <v/>
      </c>
      <c r="G71" s="26">
        <f>IF($A71="","",IF($E71=0,"Saldato","Aperto"))</f>
        <v/>
      </c>
      <c r="H71" s="24" t="n"/>
    </row>
    <row r="72" ht="15.75" customHeight="1">
      <c r="A72" s="18" t="n"/>
      <c r="B72" s="22">
        <f>IF($A72="","",IFERROR(INDEX(Clienti!$B:$B,MATCH($A72,Clienti!$A:$A,0)),"Codice non trovato"))</f>
        <v/>
      </c>
      <c r="C72" s="21" t="n"/>
      <c r="D72" s="32" t="n"/>
      <c r="E72" s="23" t="n"/>
      <c r="F72" s="26">
        <f>IF(OR($A72="",$D72=""),"",TODAY()-$D72)</f>
        <v/>
      </c>
      <c r="G72" s="26">
        <f>IF($A72="","",IF($E72=0,"Saldato","Aperto"))</f>
        <v/>
      </c>
      <c r="H72" s="24" t="n"/>
    </row>
    <row r="73" ht="15.75" customHeight="1">
      <c r="A73" s="11" t="n"/>
      <c r="B73" s="22">
        <f>IF($A73="","",IFERROR(INDEX(Clienti!$B:$B,MATCH($A73,Clienti!$A:$A,0)),"Codice non trovato"))</f>
        <v/>
      </c>
      <c r="C73" s="21" t="n"/>
      <c r="D73" s="32" t="n"/>
      <c r="E73" s="23" t="n"/>
      <c r="F73" s="26">
        <f>IF(OR($A73="",$D73=""),"",TODAY()-$D73)</f>
        <v/>
      </c>
      <c r="G73" s="26">
        <f>IF($A73="","",IF($E73=0,"Saldato","Aperto"))</f>
        <v/>
      </c>
      <c r="H73" s="24" t="n"/>
    </row>
    <row r="74" ht="15.75" customHeight="1">
      <c r="A74" s="18" t="n"/>
      <c r="B74" s="22">
        <f>IF($A74="","",IFERROR(INDEX(Clienti!$B:$B,MATCH($A74,Clienti!$A:$A,0)),"Codice non trovato"))</f>
        <v/>
      </c>
      <c r="C74" s="21" t="n"/>
      <c r="D74" s="32" t="n"/>
      <c r="E74" s="23" t="n"/>
      <c r="F74" s="26">
        <f>IF(OR($A74="",$D74=""),"",TODAY()-$D74)</f>
        <v/>
      </c>
      <c r="G74" s="26">
        <f>IF($A74="","",IF($E74=0,"Saldato","Aperto"))</f>
        <v/>
      </c>
      <c r="H74" s="24" t="n"/>
    </row>
    <row r="75" ht="15.75" customHeight="1">
      <c r="A75" s="11" t="n"/>
      <c r="B75" s="22">
        <f>IF($A75="","",IFERROR(INDEX(Clienti!$B:$B,MATCH($A75,Clienti!$A:$A,0)),"Codice non trovato"))</f>
        <v/>
      </c>
      <c r="C75" s="21" t="n"/>
      <c r="D75" s="32" t="n"/>
      <c r="E75" s="23" t="n"/>
      <c r="F75" s="26">
        <f>IF(OR($A75="",$D75=""),"",TODAY()-$D75)</f>
        <v/>
      </c>
      <c r="G75" s="26">
        <f>IF($A75="","",IF($E75=0,"Saldato","Aperto"))</f>
        <v/>
      </c>
      <c r="H75" s="24" t="n"/>
    </row>
    <row r="76" ht="15.75" customHeight="1">
      <c r="A76" s="18" t="n"/>
      <c r="B76" s="22">
        <f>IF($A76="","",IFERROR(INDEX(Clienti!$B:$B,MATCH($A76,Clienti!$A:$A,0)),"Codice non trovato"))</f>
        <v/>
      </c>
      <c r="C76" s="21" t="n"/>
      <c r="D76" s="32" t="n"/>
      <c r="E76" s="23" t="n"/>
      <c r="F76" s="26">
        <f>IF(OR($A76="",$D76=""),"",TODAY()-$D76)</f>
        <v/>
      </c>
      <c r="G76" s="26">
        <f>IF($A76="","",IF($E76=0,"Saldato","Aperto"))</f>
        <v/>
      </c>
      <c r="H76" s="24" t="n"/>
    </row>
    <row r="77" ht="15.75" customHeight="1">
      <c r="A77" s="11" t="n"/>
      <c r="B77" s="22">
        <f>IF($A77="","",IFERROR(INDEX(Clienti!$B:$B,MATCH($A77,Clienti!$A:$A,0)),"Codice non trovato"))</f>
        <v/>
      </c>
      <c r="C77" s="21" t="n"/>
      <c r="D77" s="32" t="n"/>
      <c r="E77" s="23" t="n"/>
      <c r="F77" s="26">
        <f>IF(OR($A77="",$D77=""),"",TODAY()-$D77)</f>
        <v/>
      </c>
      <c r="G77" s="26">
        <f>IF($A77="","",IF($E77=0,"Saldato","Aperto"))</f>
        <v/>
      </c>
      <c r="H77" s="24" t="n"/>
    </row>
    <row r="78" ht="15.75" customHeight="1">
      <c r="A78" s="18" t="n"/>
      <c r="B78" s="22">
        <f>IF($A78="","",IFERROR(INDEX(Clienti!$B:$B,MATCH($A78,Clienti!$A:$A,0)),"Codice non trovato"))</f>
        <v/>
      </c>
      <c r="C78" s="21" t="n"/>
      <c r="D78" s="32" t="n"/>
      <c r="E78" s="23" t="n"/>
      <c r="F78" s="26">
        <f>IF(OR($A78="",$D78=""),"",TODAY()-$D78)</f>
        <v/>
      </c>
      <c r="G78" s="26">
        <f>IF($A78="","",IF($E78=0,"Saldato","Aperto"))</f>
        <v/>
      </c>
      <c r="H78" s="24" t="n"/>
    </row>
    <row r="79" ht="15.75" customHeight="1">
      <c r="A79" s="11" t="n"/>
      <c r="B79" s="22">
        <f>IF($A79="","",IFERROR(INDEX(Clienti!$B:$B,MATCH($A79,Clienti!$A:$A,0)),"Codice non trovato"))</f>
        <v/>
      </c>
      <c r="C79" s="21" t="n"/>
      <c r="D79" s="32" t="n"/>
      <c r="E79" s="23" t="n"/>
      <c r="F79" s="26">
        <f>IF(OR($A79="",$D79=""),"",TODAY()-$D79)</f>
        <v/>
      </c>
      <c r="G79" s="26">
        <f>IF($A79="","",IF($E79=0,"Saldato","Aperto"))</f>
        <v/>
      </c>
      <c r="H79" s="24" t="n"/>
    </row>
    <row r="80" ht="15.75" customHeight="1">
      <c r="A80" s="18" t="n"/>
      <c r="B80" s="22">
        <f>IF($A80="","",IFERROR(INDEX(Clienti!$B:$B,MATCH($A80,Clienti!$A:$A,0)),"Codice non trovato"))</f>
        <v/>
      </c>
      <c r="C80" s="21" t="n"/>
      <c r="D80" s="32" t="n"/>
      <c r="E80" s="23" t="n"/>
      <c r="F80" s="26">
        <f>IF(OR($A80="",$D80=""),"",TODAY()-$D80)</f>
        <v/>
      </c>
      <c r="G80" s="26">
        <f>IF($A80="","",IF($E80=0,"Saldato","Aperto"))</f>
        <v/>
      </c>
      <c r="H80" s="24" t="n"/>
    </row>
    <row r="81" ht="15.75" customHeight="1">
      <c r="A81" s="11" t="n"/>
      <c r="B81" s="22">
        <f>IF($A81="","",IFERROR(INDEX(Clienti!$B:$B,MATCH($A81,Clienti!$A:$A,0)),"Codice non trovato"))</f>
        <v/>
      </c>
      <c r="C81" s="21" t="n"/>
      <c r="D81" s="32" t="n"/>
      <c r="E81" s="23" t="n"/>
      <c r="F81" s="26">
        <f>IF(OR($A81="",$D81=""),"",TODAY()-$D81)</f>
        <v/>
      </c>
      <c r="G81" s="26">
        <f>IF($A81="","",IF($E81=0,"Saldato","Aperto"))</f>
        <v/>
      </c>
      <c r="H81" s="24" t="n"/>
    </row>
    <row r="82" ht="15.75" customHeight="1">
      <c r="A82" s="18" t="n"/>
      <c r="B82" s="22">
        <f>IF($A82="","",IFERROR(INDEX(Clienti!$B:$B,MATCH($A82,Clienti!$A:$A,0)),"Codice non trovato"))</f>
        <v/>
      </c>
      <c r="C82" s="21" t="n"/>
      <c r="D82" s="32" t="n"/>
      <c r="E82" s="23" t="n"/>
      <c r="F82" s="26">
        <f>IF(OR($A82="",$D82=""),"",TODAY()-$D82)</f>
        <v/>
      </c>
      <c r="G82" s="26">
        <f>IF($A82="","",IF($E82=0,"Saldato","Aperto"))</f>
        <v/>
      </c>
      <c r="H82" s="24" t="n"/>
    </row>
    <row r="83" ht="15.75" customHeight="1">
      <c r="A83" s="11" t="n"/>
      <c r="B83" s="22">
        <f>IF($A83="","",IFERROR(INDEX(Clienti!$B:$B,MATCH($A83,Clienti!$A:$A,0)),"Codice non trovato"))</f>
        <v/>
      </c>
      <c r="C83" s="21" t="n"/>
      <c r="D83" s="32" t="n"/>
      <c r="E83" s="23" t="n"/>
      <c r="F83" s="26">
        <f>IF(OR($A83="",$D83=""),"",TODAY()-$D83)</f>
        <v/>
      </c>
      <c r="G83" s="26">
        <f>IF($A83="","",IF($E83=0,"Saldato","Aperto"))</f>
        <v/>
      </c>
      <c r="H83" s="24" t="n"/>
    </row>
    <row r="84" ht="15.75" customHeight="1">
      <c r="A84" s="18" t="n"/>
      <c r="B84" s="22">
        <f>IF($A84="","",IFERROR(INDEX(Clienti!$B:$B,MATCH($A84,Clienti!$A:$A,0)),"Codice non trovato"))</f>
        <v/>
      </c>
      <c r="C84" s="21" t="n"/>
      <c r="D84" s="32" t="n"/>
      <c r="E84" s="23" t="n"/>
      <c r="F84" s="26">
        <f>IF(OR($A84="",$D84=""),"",TODAY()-$D84)</f>
        <v/>
      </c>
      <c r="G84" s="26">
        <f>IF($A84="","",IF($E84=0,"Saldato","Aperto"))</f>
        <v/>
      </c>
      <c r="H84" s="24" t="n"/>
    </row>
    <row r="85" ht="15.75" customHeight="1">
      <c r="A85" s="11" t="n"/>
      <c r="B85" s="22">
        <f>IF($A85="","",IFERROR(INDEX(Clienti!$B:$B,MATCH($A85,Clienti!$A:$A,0)),"Codice non trovato"))</f>
        <v/>
      </c>
      <c r="C85" s="21" t="n"/>
      <c r="D85" s="32" t="n"/>
      <c r="E85" s="23" t="n"/>
      <c r="F85" s="26">
        <f>IF(OR($A85="",$D85=""),"",TODAY()-$D85)</f>
        <v/>
      </c>
      <c r="G85" s="26">
        <f>IF($A85="","",IF($E85=0,"Saldato","Aperto"))</f>
        <v/>
      </c>
      <c r="H85" s="24" t="n"/>
    </row>
    <row r="86" ht="15.75" customHeight="1">
      <c r="A86" s="18" t="n"/>
      <c r="B86" s="22">
        <f>IF($A86="","",IFERROR(INDEX(Clienti!$B:$B,MATCH($A86,Clienti!$A:$A,0)),"Codice non trovato"))</f>
        <v/>
      </c>
      <c r="C86" s="21" t="n"/>
      <c r="D86" s="32" t="n"/>
      <c r="E86" s="23" t="n"/>
      <c r="F86" s="26">
        <f>IF(OR($A86="",$D86=""),"",TODAY()-$D86)</f>
        <v/>
      </c>
      <c r="G86" s="26">
        <f>IF($A86="","",IF($E86=0,"Saldato","Aperto"))</f>
        <v/>
      </c>
      <c r="H86" s="24" t="n"/>
    </row>
    <row r="87" ht="15.75" customHeight="1">
      <c r="A87" s="11" t="n"/>
      <c r="B87" s="22">
        <f>IF($A87="","",IFERROR(INDEX(Clienti!$B:$B,MATCH($A87,Clienti!$A:$A,0)),"Codice non trovato"))</f>
        <v/>
      </c>
      <c r="C87" s="21" t="n"/>
      <c r="D87" s="32" t="n"/>
      <c r="E87" s="23" t="n"/>
      <c r="F87" s="26">
        <f>IF(OR($A87="",$D87=""),"",TODAY()-$D87)</f>
        <v/>
      </c>
      <c r="G87" s="26">
        <f>IF($A87="","",IF($E87=0,"Saldato","Aperto"))</f>
        <v/>
      </c>
      <c r="H87" s="24" t="n"/>
    </row>
    <row r="88" ht="15.75" customHeight="1">
      <c r="A88" s="18" t="n"/>
      <c r="B88" s="22">
        <f>IF($A88="","",IFERROR(INDEX(Clienti!$B:$B,MATCH($A88,Clienti!$A:$A,0)),"Codice non trovato"))</f>
        <v/>
      </c>
      <c r="C88" s="21" t="n"/>
      <c r="D88" s="32" t="n"/>
      <c r="E88" s="23" t="n"/>
      <c r="F88" s="26">
        <f>IF(OR($A88="",$D88=""),"",TODAY()-$D88)</f>
        <v/>
      </c>
      <c r="G88" s="26">
        <f>IF($A88="","",IF($E88=0,"Saldato","Aperto"))</f>
        <v/>
      </c>
      <c r="H88" s="24" t="n"/>
    </row>
    <row r="89" ht="15.75" customHeight="1">
      <c r="A89" s="11" t="n"/>
      <c r="B89" s="22">
        <f>IF($A89="","",IFERROR(INDEX(Clienti!$B:$B,MATCH($A89,Clienti!$A:$A,0)),"Codice non trovato"))</f>
        <v/>
      </c>
      <c r="C89" s="21" t="n"/>
      <c r="D89" s="32" t="n"/>
      <c r="E89" s="23" t="n"/>
      <c r="F89" s="26">
        <f>IF(OR($A89="",$D89=""),"",TODAY()-$D89)</f>
        <v/>
      </c>
      <c r="G89" s="26">
        <f>IF($A89="","",IF($E89=0,"Saldato","Aperto"))</f>
        <v/>
      </c>
      <c r="H89" s="24" t="n"/>
    </row>
    <row r="90" ht="15.75" customHeight="1">
      <c r="A90" s="18" t="n"/>
      <c r="B90" s="22">
        <f>IF($A90="","",IFERROR(INDEX(Clienti!$B:$B,MATCH($A90,Clienti!$A:$A,0)),"Codice non trovato"))</f>
        <v/>
      </c>
      <c r="C90" s="21" t="n"/>
      <c r="D90" s="32" t="n"/>
      <c r="E90" s="23" t="n"/>
      <c r="F90" s="26">
        <f>IF(OR($A90="",$D90=""),"",TODAY()-$D90)</f>
        <v/>
      </c>
      <c r="G90" s="26">
        <f>IF($A90="","",IF($E90=0,"Saldato","Aperto"))</f>
        <v/>
      </c>
      <c r="H90" s="24" t="n"/>
    </row>
    <row r="91" ht="15.75" customHeight="1">
      <c r="A91" s="11" t="n"/>
      <c r="B91" s="22">
        <f>IF($A91="","",IFERROR(INDEX(Clienti!$B:$B,MATCH($A91,Clienti!$A:$A,0)),"Codice non trovato"))</f>
        <v/>
      </c>
      <c r="C91" s="21" t="n"/>
      <c r="D91" s="32" t="n"/>
      <c r="E91" s="23" t="n"/>
      <c r="F91" s="26">
        <f>IF(OR($A91="",$D91=""),"",TODAY()-$D91)</f>
        <v/>
      </c>
      <c r="G91" s="26">
        <f>IF($A91="","",IF($E91=0,"Saldato","Aperto"))</f>
        <v/>
      </c>
      <c r="H91" s="24" t="n"/>
    </row>
    <row r="92" ht="15.75" customHeight="1">
      <c r="A92" s="18" t="n"/>
      <c r="B92" s="22">
        <f>IF($A92="","",IFERROR(INDEX(Clienti!$B:$B,MATCH($A92,Clienti!$A:$A,0)),"Codice non trovato"))</f>
        <v/>
      </c>
      <c r="C92" s="21" t="n"/>
      <c r="D92" s="32" t="n"/>
      <c r="E92" s="23" t="n"/>
      <c r="F92" s="26">
        <f>IF(OR($A92="",$D92=""),"",TODAY()-$D92)</f>
        <v/>
      </c>
      <c r="G92" s="26">
        <f>IF($A92="","",IF($E92=0,"Saldato","Aperto"))</f>
        <v/>
      </c>
      <c r="H92" s="24" t="n"/>
    </row>
    <row r="93" ht="15.75" customHeight="1">
      <c r="A93" s="11" t="n"/>
      <c r="B93" s="22">
        <f>IF($A93="","",IFERROR(INDEX(Clienti!$B:$B,MATCH($A93,Clienti!$A:$A,0)),"Codice non trovato"))</f>
        <v/>
      </c>
      <c r="C93" s="21" t="n"/>
      <c r="D93" s="32" t="n"/>
      <c r="E93" s="23" t="n"/>
      <c r="F93" s="26">
        <f>IF(OR($A93="",$D93=""),"",TODAY()-$D93)</f>
        <v/>
      </c>
      <c r="G93" s="26">
        <f>IF($A93="","",IF($E93=0,"Saldato","Aperto"))</f>
        <v/>
      </c>
      <c r="H93" s="24" t="n"/>
    </row>
    <row r="94" ht="15.75" customHeight="1">
      <c r="A94" s="18" t="n"/>
      <c r="B94" s="22">
        <f>IF($A94="","",IFERROR(INDEX(Clienti!$B:$B,MATCH($A94,Clienti!$A:$A,0)),"Codice non trovato"))</f>
        <v/>
      </c>
      <c r="C94" s="21" t="n"/>
      <c r="D94" s="32" t="n"/>
      <c r="E94" s="23" t="n"/>
      <c r="F94" s="26">
        <f>IF(OR($A94="",$D94=""),"",TODAY()-$D94)</f>
        <v/>
      </c>
      <c r="G94" s="26">
        <f>IF($A94="","",IF($E94=0,"Saldato","Aperto"))</f>
        <v/>
      </c>
      <c r="H94" s="24" t="n"/>
    </row>
    <row r="95" ht="15.75" customHeight="1">
      <c r="A95" s="11" t="n"/>
      <c r="B95" s="22">
        <f>IF($A95="","",IFERROR(INDEX(Clienti!$B:$B,MATCH($A95,Clienti!$A:$A,0)),"Codice non trovato"))</f>
        <v/>
      </c>
      <c r="C95" s="21" t="n"/>
      <c r="D95" s="32" t="n"/>
      <c r="E95" s="23" t="n"/>
      <c r="F95" s="26">
        <f>IF(OR($A95="",$D95=""),"",TODAY()-$D95)</f>
        <v/>
      </c>
      <c r="G95" s="26">
        <f>IF($A95="","",IF($E95=0,"Saldato","Aperto"))</f>
        <v/>
      </c>
      <c r="H95" s="24" t="n"/>
    </row>
    <row r="96" ht="15.75" customHeight="1">
      <c r="A96" s="18" t="n"/>
      <c r="B96" s="22">
        <f>IF($A96="","",IFERROR(INDEX(Clienti!$B:$B,MATCH($A96,Clienti!$A:$A,0)),"Codice non trovato"))</f>
        <v/>
      </c>
      <c r="C96" s="21" t="n"/>
      <c r="D96" s="32" t="n"/>
      <c r="E96" s="23" t="n"/>
      <c r="F96" s="26">
        <f>IF(OR($A96="",$D96=""),"",TODAY()-$D96)</f>
        <v/>
      </c>
      <c r="G96" s="26">
        <f>IF($A96="","",IF($E96=0,"Saldato","Aperto"))</f>
        <v/>
      </c>
      <c r="H96" s="24" t="n"/>
    </row>
    <row r="97" ht="15.75" customHeight="1">
      <c r="A97" s="11" t="n"/>
      <c r="B97" s="22">
        <f>IF($A97="","",IFERROR(INDEX(Clienti!$B:$B,MATCH($A97,Clienti!$A:$A,0)),"Codice non trovato"))</f>
        <v/>
      </c>
      <c r="C97" s="21" t="n"/>
      <c r="D97" s="32" t="n"/>
      <c r="E97" s="23" t="n"/>
      <c r="F97" s="26">
        <f>IF(OR($A97="",$D97=""),"",TODAY()-$D97)</f>
        <v/>
      </c>
      <c r="G97" s="26">
        <f>IF($A97="","",IF($E97=0,"Saldato","Aperto"))</f>
        <v/>
      </c>
      <c r="H97" s="24" t="n"/>
    </row>
    <row r="98" ht="15.75" customHeight="1">
      <c r="A98" s="18" t="n"/>
      <c r="B98" s="22">
        <f>IF($A98="","",IFERROR(INDEX(Clienti!$B:$B,MATCH($A98,Clienti!$A:$A,0)),"Codice non trovato"))</f>
        <v/>
      </c>
      <c r="C98" s="21" t="n"/>
      <c r="D98" s="32" t="n"/>
      <c r="E98" s="23" t="n"/>
      <c r="F98" s="26">
        <f>IF(OR($A98="",$D98=""),"",TODAY()-$D98)</f>
        <v/>
      </c>
      <c r="G98" s="26">
        <f>IF($A98="","",IF($E98=0,"Saldato","Aperto"))</f>
        <v/>
      </c>
      <c r="H98" s="24" t="n"/>
    </row>
    <row r="99" ht="15.75" customHeight="1">
      <c r="A99" s="11" t="n"/>
      <c r="B99" s="22">
        <f>IF($A99="","",IFERROR(INDEX(Clienti!$B:$B,MATCH($A99,Clienti!$A:$A,0)),"Codice non trovato"))</f>
        <v/>
      </c>
      <c r="C99" s="21" t="n"/>
      <c r="D99" s="32" t="n"/>
      <c r="E99" s="23" t="n"/>
      <c r="F99" s="26">
        <f>IF(OR($A99="",$D99=""),"",TODAY()-$D99)</f>
        <v/>
      </c>
      <c r="G99" s="26">
        <f>IF($A99="","",IF($E99=0,"Saldato","Aperto"))</f>
        <v/>
      </c>
      <c r="H99" s="24" t="n"/>
    </row>
    <row r="100" ht="15.75" customHeight="1">
      <c r="A100" s="18" t="n"/>
      <c r="B100" s="22">
        <f>IF($A100="","",IFERROR(INDEX(Clienti!$B:$B,MATCH($A100,Clienti!$A:$A,0)),"Codice non trovato"))</f>
        <v/>
      </c>
      <c r="C100" s="21" t="n"/>
      <c r="D100" s="32" t="n"/>
      <c r="E100" s="23" t="n"/>
      <c r="F100" s="26">
        <f>IF(OR($A100="",$D100=""),"",TODAY()-$D100)</f>
        <v/>
      </c>
      <c r="G100" s="26">
        <f>IF($A100="","",IF($E100=0,"Saldato","Aperto"))</f>
        <v/>
      </c>
      <c r="H100" s="24" t="n"/>
    </row>
    <row r="101" ht="15.75" customHeight="1">
      <c r="A101" s="11" t="n"/>
      <c r="B101" s="22">
        <f>IF($A101="","",IFERROR(INDEX(Clienti!$B:$B,MATCH($A101,Clienti!$A:$A,0)),"Codice non trovato"))</f>
        <v/>
      </c>
      <c r="C101" s="21" t="n"/>
      <c r="D101" s="32" t="n"/>
      <c r="E101" s="23" t="n"/>
      <c r="F101" s="26">
        <f>IF(OR($A101="",$D101=""),"",TODAY()-$D101)</f>
        <v/>
      </c>
      <c r="G101" s="26">
        <f>IF($A101="","",IF($E101=0,"Saldato","Aperto"))</f>
        <v/>
      </c>
      <c r="H101" s="24" t="n"/>
    </row>
    <row r="102" ht="15.75" customHeight="1">
      <c r="A102" s="18" t="n"/>
      <c r="B102" s="22">
        <f>IF($A102="","",IFERROR(INDEX(Clienti!$B:$B,MATCH($A102,Clienti!$A:$A,0)),"Codice non trovato"))</f>
        <v/>
      </c>
      <c r="C102" s="21" t="n"/>
      <c r="D102" s="32" t="n"/>
      <c r="E102" s="23" t="n"/>
      <c r="F102" s="26">
        <f>IF(OR($A102="",$D102=""),"",TODAY()-$D102)</f>
        <v/>
      </c>
      <c r="G102" s="26">
        <f>IF($A102="","",IF($E102=0,"Saldato","Aperto"))</f>
        <v/>
      </c>
      <c r="H102" s="24" t="n"/>
    </row>
    <row r="103" ht="15.75" customHeight="1">
      <c r="A103" s="11" t="n"/>
      <c r="B103" s="22">
        <f>IF($A103="","",IFERROR(INDEX(Clienti!$B:$B,MATCH($A103,Clienti!$A:$A,0)),"Codice non trovato"))</f>
        <v/>
      </c>
      <c r="C103" s="21" t="n"/>
      <c r="D103" s="32" t="n"/>
      <c r="E103" s="23" t="n"/>
      <c r="F103" s="26">
        <f>IF(OR($A103="",$D103=""),"",TODAY()-$D103)</f>
        <v/>
      </c>
      <c r="G103" s="26">
        <f>IF($A103="","",IF($E103=0,"Saldato","Aperto"))</f>
        <v/>
      </c>
      <c r="H103" s="24" t="n"/>
    </row>
    <row r="104" ht="15.75" customHeight="1">
      <c r="A104" s="18" t="n"/>
      <c r="B104" s="22">
        <f>IF($A104="","",IFERROR(INDEX(Clienti!$B:$B,MATCH($A104,Clienti!$A:$A,0)),"Codice non trovato"))</f>
        <v/>
      </c>
      <c r="C104" s="21" t="n"/>
      <c r="D104" s="32" t="n"/>
      <c r="E104" s="23" t="n"/>
      <c r="F104" s="26">
        <f>IF(OR($A104="",$D104=""),"",TODAY()-$D104)</f>
        <v/>
      </c>
      <c r="G104" s="26">
        <f>IF($A104="","",IF($E104=0,"Saldato","Aperto"))</f>
        <v/>
      </c>
      <c r="H104" s="24" t="n"/>
    </row>
    <row r="105" ht="15.75" customHeight="1">
      <c r="A105" s="11" t="n"/>
      <c r="B105" s="22">
        <f>IF($A105="","",IFERROR(INDEX(Clienti!$B:$B,MATCH($A105,Clienti!$A:$A,0)),"Codice non trovato"))</f>
        <v/>
      </c>
      <c r="C105" s="21" t="n"/>
      <c r="D105" s="32" t="n"/>
      <c r="E105" s="23" t="n"/>
      <c r="F105" s="26">
        <f>IF(OR($A105="",$D105=""),"",TODAY()-$D105)</f>
        <v/>
      </c>
      <c r="G105" s="26">
        <f>IF($A105="","",IF($E105=0,"Saldato","Aperto"))</f>
        <v/>
      </c>
      <c r="H105" s="24" t="n"/>
    </row>
    <row r="106" ht="15.75" customHeight="1">
      <c r="A106" s="18" t="n"/>
      <c r="B106" s="22">
        <f>IF($A106="","",IFERROR(INDEX(Clienti!$B:$B,MATCH($A106,Clienti!$A:$A,0)),"Codice non trovato"))</f>
        <v/>
      </c>
      <c r="C106" s="21" t="n"/>
      <c r="D106" s="32" t="n"/>
      <c r="E106" s="23" t="n"/>
      <c r="F106" s="26">
        <f>IF(OR($A106="",$D106=""),"",TODAY()-$D106)</f>
        <v/>
      </c>
      <c r="G106" s="26">
        <f>IF($A106="","",IF($E106=0,"Saldato","Aperto"))</f>
        <v/>
      </c>
      <c r="H106" s="24" t="n"/>
    </row>
    <row r="107" ht="15.75" customHeight="1">
      <c r="A107" s="11" t="n"/>
      <c r="B107" s="22">
        <f>IF($A107="","",IFERROR(INDEX(Clienti!$B:$B,MATCH($A107,Clienti!$A:$A,0)),"Codice non trovato"))</f>
        <v/>
      </c>
      <c r="C107" s="21" t="n"/>
      <c r="D107" s="32" t="n"/>
      <c r="E107" s="23" t="n"/>
      <c r="F107" s="26">
        <f>IF(OR($A107="",$D107=""),"",TODAY()-$D107)</f>
        <v/>
      </c>
      <c r="G107" s="26">
        <f>IF($A107="","",IF($E107=0,"Saldato","Aperto"))</f>
        <v/>
      </c>
      <c r="H107" s="24" t="n"/>
    </row>
    <row r="108" ht="15.75" customHeight="1">
      <c r="A108" s="18" t="n"/>
      <c r="B108" s="22">
        <f>IF($A108="","",IFERROR(INDEX(Clienti!$B:$B,MATCH($A108,Clienti!$A:$A,0)),"Codice non trovato"))</f>
        <v/>
      </c>
      <c r="C108" s="21" t="n"/>
      <c r="D108" s="32" t="n"/>
      <c r="E108" s="23" t="n"/>
      <c r="F108" s="26">
        <f>IF(OR($A108="",$D108=""),"",TODAY()-$D108)</f>
        <v/>
      </c>
      <c r="G108" s="26">
        <f>IF($A108="","",IF($E108=0,"Saldato","Aperto"))</f>
        <v/>
      </c>
      <c r="H108" s="24" t="n"/>
    </row>
    <row r="109" ht="15.75" customHeight="1">
      <c r="A109" s="11" t="n"/>
      <c r="B109" s="22">
        <f>IF($A109="","",IFERROR(INDEX(Clienti!$B:$B,MATCH($A109,Clienti!$A:$A,0)),"Codice non trovato"))</f>
        <v/>
      </c>
      <c r="C109" s="21" t="n"/>
      <c r="D109" s="32" t="n"/>
      <c r="E109" s="23" t="n"/>
      <c r="F109" s="26">
        <f>IF(OR($A109="",$D109=""),"",TODAY()-$D109)</f>
        <v/>
      </c>
      <c r="G109" s="26">
        <f>IF($A109="","",IF($E109=0,"Saldato","Aperto"))</f>
        <v/>
      </c>
      <c r="H109" s="24" t="n"/>
    </row>
    <row r="110" ht="15.75" customHeight="1">
      <c r="A110" s="18" t="n"/>
      <c r="B110" s="22">
        <f>IF($A110="","",IFERROR(INDEX(Clienti!$B:$B,MATCH($A110,Clienti!$A:$A,0)),"Codice non trovato"))</f>
        <v/>
      </c>
      <c r="C110" s="21" t="n"/>
      <c r="D110" s="32" t="n"/>
      <c r="E110" s="23" t="n"/>
      <c r="F110" s="26">
        <f>IF(OR($A110="",$D110=""),"",TODAY()-$D110)</f>
        <v/>
      </c>
      <c r="G110" s="26">
        <f>IF($A110="","",IF($E110=0,"Saldato","Aperto"))</f>
        <v/>
      </c>
      <c r="H110" s="24" t="n"/>
    </row>
    <row r="111" ht="15.75" customHeight="1">
      <c r="A111" s="11" t="n"/>
      <c r="B111" s="22">
        <f>IF($A111="","",IFERROR(INDEX(Clienti!$B:$B,MATCH($A111,Clienti!$A:$A,0)),"Codice non trovato"))</f>
        <v/>
      </c>
      <c r="C111" s="21" t="n"/>
      <c r="D111" s="32" t="n"/>
      <c r="E111" s="23" t="n"/>
      <c r="F111" s="26">
        <f>IF(OR($A111="",$D111=""),"",TODAY()-$D111)</f>
        <v/>
      </c>
      <c r="G111" s="26">
        <f>IF($A111="","",IF($E111=0,"Saldato","Aperto"))</f>
        <v/>
      </c>
      <c r="H111" s="24" t="n"/>
    </row>
    <row r="112" ht="15.75" customHeight="1">
      <c r="A112" s="18" t="n"/>
      <c r="B112" s="22">
        <f>IF($A112="","",IFERROR(INDEX(Clienti!$B:$B,MATCH($A112,Clienti!$A:$A,0)),"Codice non trovato"))</f>
        <v/>
      </c>
      <c r="C112" s="21" t="n"/>
      <c r="D112" s="32" t="n"/>
      <c r="E112" s="23" t="n"/>
      <c r="F112" s="26">
        <f>IF(OR($A112="",$D112=""),"",TODAY()-$D112)</f>
        <v/>
      </c>
      <c r="G112" s="26">
        <f>IF($A112="","",IF($E112=0,"Saldato","Aperto"))</f>
        <v/>
      </c>
      <c r="H112" s="24" t="n"/>
    </row>
    <row r="113" ht="15.75" customHeight="1">
      <c r="A113" s="11" t="n"/>
      <c r="B113" s="22">
        <f>IF($A113="","",IFERROR(INDEX(Clienti!$B:$B,MATCH($A113,Clienti!$A:$A,0)),"Codice non trovato"))</f>
        <v/>
      </c>
      <c r="C113" s="21" t="n"/>
      <c r="D113" s="32" t="n"/>
      <c r="E113" s="23" t="n"/>
      <c r="F113" s="26">
        <f>IF(OR($A113="",$D113=""),"",TODAY()-$D113)</f>
        <v/>
      </c>
      <c r="G113" s="26">
        <f>IF($A113="","",IF($E113=0,"Saldato","Aperto"))</f>
        <v/>
      </c>
      <c r="H113" s="24" t="n"/>
    </row>
    <row r="114" ht="15.75" customHeight="1">
      <c r="A114" s="18" t="n"/>
      <c r="B114" s="22">
        <f>IF($A114="","",IFERROR(INDEX(Clienti!$B:$B,MATCH($A114,Clienti!$A:$A,0)),"Codice non trovato"))</f>
        <v/>
      </c>
      <c r="C114" s="21" t="n"/>
      <c r="D114" s="32" t="n"/>
      <c r="E114" s="23" t="n"/>
      <c r="F114" s="26">
        <f>IF(OR($A114="",$D114=""),"",TODAY()-$D114)</f>
        <v/>
      </c>
      <c r="G114" s="26">
        <f>IF($A114="","",IF($E114=0,"Saldato","Aperto"))</f>
        <v/>
      </c>
      <c r="H114" s="24" t="n"/>
    </row>
    <row r="115" ht="15.75" customHeight="1">
      <c r="A115" s="11" t="n"/>
      <c r="B115" s="22">
        <f>IF($A115="","",IFERROR(INDEX(Clienti!$B:$B,MATCH($A115,Clienti!$A:$A,0)),"Codice non trovato"))</f>
        <v/>
      </c>
      <c r="C115" s="21" t="n"/>
      <c r="D115" s="32" t="n"/>
      <c r="E115" s="23" t="n"/>
      <c r="F115" s="26">
        <f>IF(OR($A115="",$D115=""),"",TODAY()-$D115)</f>
        <v/>
      </c>
      <c r="G115" s="26">
        <f>IF($A115="","",IF($E115=0,"Saldato","Aperto"))</f>
        <v/>
      </c>
      <c r="H115" s="24" t="n"/>
    </row>
    <row r="116" ht="15.75" customHeight="1">
      <c r="A116" s="18" t="n"/>
      <c r="B116" s="22">
        <f>IF($A116="","",IFERROR(INDEX(Clienti!$B:$B,MATCH($A116,Clienti!$A:$A,0)),"Codice non trovato"))</f>
        <v/>
      </c>
      <c r="C116" s="21" t="n"/>
      <c r="D116" s="32" t="n"/>
      <c r="E116" s="23" t="n"/>
      <c r="F116" s="26">
        <f>IF(OR($A116="",$D116=""),"",TODAY()-$D116)</f>
        <v/>
      </c>
      <c r="G116" s="26">
        <f>IF($A116="","",IF($E116=0,"Saldato","Aperto"))</f>
        <v/>
      </c>
      <c r="H116" s="24" t="n"/>
    </row>
    <row r="117" ht="15.75" customHeight="1">
      <c r="A117" s="11" t="n"/>
      <c r="B117" s="22">
        <f>IF($A117="","",IFERROR(INDEX(Clienti!$B:$B,MATCH($A117,Clienti!$A:$A,0)),"Codice non trovato"))</f>
        <v/>
      </c>
      <c r="C117" s="21" t="n"/>
      <c r="D117" s="32" t="n"/>
      <c r="E117" s="23" t="n"/>
      <c r="F117" s="26">
        <f>IF(OR($A117="",$D117=""),"",TODAY()-$D117)</f>
        <v/>
      </c>
      <c r="G117" s="26">
        <f>IF($A117="","",IF($E117=0,"Saldato","Aperto"))</f>
        <v/>
      </c>
      <c r="H117" s="24" t="n"/>
    </row>
    <row r="118" ht="15.75" customHeight="1">
      <c r="A118" s="18" t="n"/>
      <c r="B118" s="22">
        <f>IF($A118="","",IFERROR(INDEX(Clienti!$B:$B,MATCH($A118,Clienti!$A:$A,0)),"Codice non trovato"))</f>
        <v/>
      </c>
      <c r="C118" s="21" t="n"/>
      <c r="D118" s="32" t="n"/>
      <c r="E118" s="23" t="n"/>
      <c r="F118" s="26">
        <f>IF(OR($A118="",$D118=""),"",TODAY()-$D118)</f>
        <v/>
      </c>
      <c r="G118" s="26">
        <f>IF($A118="","",IF($E118=0,"Saldato","Aperto"))</f>
        <v/>
      </c>
      <c r="H118" s="24" t="n"/>
    </row>
    <row r="119" ht="15.75" customHeight="1">
      <c r="A119" s="11" t="n"/>
      <c r="B119" s="22">
        <f>IF($A119="","",IFERROR(INDEX(Clienti!$B:$B,MATCH($A119,Clienti!$A:$A,0)),"Codice non trovato"))</f>
        <v/>
      </c>
      <c r="C119" s="21" t="n"/>
      <c r="D119" s="32" t="n"/>
      <c r="E119" s="23" t="n"/>
      <c r="F119" s="26">
        <f>IF(OR($A119="",$D119=""),"",TODAY()-$D119)</f>
        <v/>
      </c>
      <c r="G119" s="26">
        <f>IF($A119="","",IF($E119=0,"Saldato","Aperto"))</f>
        <v/>
      </c>
      <c r="H119" s="24" t="n"/>
    </row>
    <row r="120" ht="15.75" customHeight="1">
      <c r="A120" s="18" t="n"/>
      <c r="B120" s="22">
        <f>IF($A120="","",IFERROR(INDEX(Clienti!$B:$B,MATCH($A120,Clienti!$A:$A,0)),"Codice non trovato"))</f>
        <v/>
      </c>
      <c r="C120" s="21" t="n"/>
      <c r="D120" s="32" t="n"/>
      <c r="E120" s="23" t="n"/>
      <c r="F120" s="26">
        <f>IF(OR($A120="",$D120=""),"",TODAY()-$D120)</f>
        <v/>
      </c>
      <c r="G120" s="26">
        <f>IF($A120="","",IF($E120=0,"Saldato","Aperto"))</f>
        <v/>
      </c>
      <c r="H120" s="24" t="n"/>
    </row>
    <row r="121" ht="15.75" customHeight="1">
      <c r="A121" s="11" t="n"/>
      <c r="B121" s="22">
        <f>IF($A121="","",IFERROR(INDEX(Clienti!$B:$B,MATCH($A121,Clienti!$A:$A,0)),"Codice non trovato"))</f>
        <v/>
      </c>
      <c r="C121" s="21" t="n"/>
      <c r="D121" s="32" t="n"/>
      <c r="E121" s="23" t="n"/>
      <c r="F121" s="26">
        <f>IF(OR($A121="",$D121=""),"",TODAY()-$D121)</f>
        <v/>
      </c>
      <c r="G121" s="26">
        <f>IF($A121="","",IF($E121=0,"Saldato","Aperto"))</f>
        <v/>
      </c>
      <c r="H121" s="24" t="n"/>
    </row>
    <row r="122" ht="15.75" customHeight="1">
      <c r="A122" s="18" t="n"/>
      <c r="B122" s="22">
        <f>IF($A122="","",IFERROR(INDEX(Clienti!$B:$B,MATCH($A122,Clienti!$A:$A,0)),"Codice non trovato"))</f>
        <v/>
      </c>
      <c r="C122" s="21" t="n"/>
      <c r="D122" s="32" t="n"/>
      <c r="E122" s="23" t="n"/>
      <c r="F122" s="26">
        <f>IF(OR($A122="",$D122=""),"",TODAY()-$D122)</f>
        <v/>
      </c>
      <c r="G122" s="26">
        <f>IF($A122="","",IF($E122=0,"Saldato","Aperto"))</f>
        <v/>
      </c>
      <c r="H122" s="24" t="n"/>
    </row>
    <row r="123" ht="15.75" customHeight="1">
      <c r="A123" s="11" t="n"/>
      <c r="B123" s="22">
        <f>IF($A123="","",IFERROR(INDEX(Clienti!$B:$B,MATCH($A123,Clienti!$A:$A,0)),"Codice non trovato"))</f>
        <v/>
      </c>
      <c r="C123" s="21" t="n"/>
      <c r="D123" s="32" t="n"/>
      <c r="E123" s="23" t="n"/>
      <c r="F123" s="26">
        <f>IF(OR($A123="",$D123=""),"",TODAY()-$D123)</f>
        <v/>
      </c>
      <c r="G123" s="26">
        <f>IF($A123="","",IF($E123=0,"Saldato","Aperto"))</f>
        <v/>
      </c>
      <c r="H123" s="24" t="n"/>
    </row>
    <row r="124" ht="15.75" customHeight="1">
      <c r="A124" s="18" t="n"/>
      <c r="B124" s="22">
        <f>IF($A124="","",IFERROR(INDEX(Clienti!$B:$B,MATCH($A124,Clienti!$A:$A,0)),"Codice non trovato"))</f>
        <v/>
      </c>
      <c r="C124" s="21" t="n"/>
      <c r="D124" s="32" t="n"/>
      <c r="E124" s="23" t="n"/>
      <c r="F124" s="26">
        <f>IF(OR($A124="",$D124=""),"",TODAY()-$D124)</f>
        <v/>
      </c>
      <c r="G124" s="26">
        <f>IF($A124="","",IF($E124=0,"Saldato","Aperto"))</f>
        <v/>
      </c>
      <c r="H124" s="24" t="n"/>
    </row>
    <row r="125" ht="15.75" customHeight="1">
      <c r="A125" s="11" t="n"/>
      <c r="B125" s="22">
        <f>IF($A125="","",IFERROR(INDEX(Clienti!$B:$B,MATCH($A125,Clienti!$A:$A,0)),"Codice non trovato"))</f>
        <v/>
      </c>
      <c r="C125" s="21" t="n"/>
      <c r="D125" s="32" t="n"/>
      <c r="E125" s="23" t="n"/>
      <c r="F125" s="26">
        <f>IF(OR($A125="",$D125=""),"",TODAY()-$D125)</f>
        <v/>
      </c>
      <c r="G125" s="26">
        <f>IF($A125="","",IF($E125=0,"Saldato","Aperto"))</f>
        <v/>
      </c>
      <c r="H125" s="24" t="n"/>
    </row>
    <row r="126" ht="15.75" customHeight="1">
      <c r="A126" s="18" t="n"/>
      <c r="B126" s="22">
        <f>IF($A126="","",IFERROR(INDEX(Clienti!$B:$B,MATCH($A126,Clienti!$A:$A,0)),"Codice non trovato"))</f>
        <v/>
      </c>
      <c r="C126" s="21" t="n"/>
      <c r="D126" s="32" t="n"/>
      <c r="E126" s="23" t="n"/>
      <c r="F126" s="26">
        <f>IF(OR($A126="",$D126=""),"",TODAY()-$D126)</f>
        <v/>
      </c>
      <c r="G126" s="26">
        <f>IF($A126="","",IF($E126=0,"Saldato","Aperto"))</f>
        <v/>
      </c>
      <c r="H126" s="24" t="n"/>
    </row>
    <row r="127" ht="15.75" customHeight="1">
      <c r="A127" s="11" t="n"/>
      <c r="B127" s="22">
        <f>IF($A127="","",IFERROR(INDEX(Clienti!$B:$B,MATCH($A127,Clienti!$A:$A,0)),"Codice non trovato"))</f>
        <v/>
      </c>
      <c r="C127" s="21" t="n"/>
      <c r="D127" s="32" t="n"/>
      <c r="E127" s="23" t="n"/>
      <c r="F127" s="26">
        <f>IF(OR($A127="",$D127=""),"",TODAY()-$D127)</f>
        <v/>
      </c>
      <c r="G127" s="26">
        <f>IF($A127="","",IF($E127=0,"Saldato","Aperto"))</f>
        <v/>
      </c>
      <c r="H127" s="24" t="n"/>
    </row>
    <row r="128" ht="15.75" customHeight="1">
      <c r="A128" s="18" t="n"/>
      <c r="B128" s="22">
        <f>IF($A128="","",IFERROR(INDEX(Clienti!$B:$B,MATCH($A128,Clienti!$A:$A,0)),"Codice non trovato"))</f>
        <v/>
      </c>
      <c r="C128" s="21" t="n"/>
      <c r="D128" s="32" t="n"/>
      <c r="E128" s="23" t="n"/>
      <c r="F128" s="26">
        <f>IF(OR($A128="",$D128=""),"",TODAY()-$D128)</f>
        <v/>
      </c>
      <c r="G128" s="26">
        <f>IF($A128="","",IF($E128=0,"Saldato","Aperto"))</f>
        <v/>
      </c>
      <c r="H128" s="24" t="n"/>
    </row>
    <row r="129" ht="15.75" customHeight="1">
      <c r="A129" s="11" t="n"/>
      <c r="B129" s="22">
        <f>IF($A129="","",IFERROR(INDEX(Clienti!$B:$B,MATCH($A129,Clienti!$A:$A,0)),"Codice non trovato"))</f>
        <v/>
      </c>
      <c r="C129" s="21" t="n"/>
      <c r="D129" s="32" t="n"/>
      <c r="E129" s="23" t="n"/>
      <c r="F129" s="26">
        <f>IF(OR($A129="",$D129=""),"",TODAY()-$D129)</f>
        <v/>
      </c>
      <c r="G129" s="26">
        <f>IF($A129="","",IF($E129=0,"Saldato","Aperto"))</f>
        <v/>
      </c>
      <c r="H129" s="24" t="n"/>
    </row>
    <row r="130" ht="15.75" customHeight="1">
      <c r="A130" s="18" t="n"/>
      <c r="B130" s="22">
        <f>IF($A130="","",IFERROR(INDEX(Clienti!$B:$B,MATCH($A130,Clienti!$A:$A,0)),"Codice non trovato"))</f>
        <v/>
      </c>
      <c r="C130" s="21" t="n"/>
      <c r="D130" s="32" t="n"/>
      <c r="E130" s="23" t="n"/>
      <c r="F130" s="26">
        <f>IF(OR($A130="",$D130=""),"",TODAY()-$D130)</f>
        <v/>
      </c>
      <c r="G130" s="26">
        <f>IF($A130="","",IF($E130=0,"Saldato","Aperto"))</f>
        <v/>
      </c>
      <c r="H130" s="24" t="n"/>
    </row>
    <row r="131" ht="15.75" customHeight="1">
      <c r="A131" s="11" t="n"/>
      <c r="B131" s="22">
        <f>IF($A131="","",IFERROR(INDEX(Clienti!$B:$B,MATCH($A131,Clienti!$A:$A,0)),"Codice non trovato"))</f>
        <v/>
      </c>
      <c r="C131" s="21" t="n"/>
      <c r="D131" s="32" t="n"/>
      <c r="E131" s="23" t="n"/>
      <c r="F131" s="26">
        <f>IF(OR($A131="",$D131=""),"",TODAY()-$D131)</f>
        <v/>
      </c>
      <c r="G131" s="26">
        <f>IF($A131="","",IF($E131=0,"Saldato","Aperto"))</f>
        <v/>
      </c>
      <c r="H131" s="24" t="n"/>
    </row>
    <row r="132" ht="15.75" customHeight="1">
      <c r="A132" s="18" t="n"/>
      <c r="B132" s="22">
        <f>IF($A132="","",IFERROR(INDEX(Clienti!$B:$B,MATCH($A132,Clienti!$A:$A,0)),"Codice non trovato"))</f>
        <v/>
      </c>
      <c r="C132" s="21" t="n"/>
      <c r="D132" s="32" t="n"/>
      <c r="E132" s="23" t="n"/>
      <c r="F132" s="26">
        <f>IF(OR($A132="",$D132=""),"",TODAY()-$D132)</f>
        <v/>
      </c>
      <c r="G132" s="26">
        <f>IF($A132="","",IF($E132=0,"Saldato","Aperto"))</f>
        <v/>
      </c>
      <c r="H132" s="24" t="n"/>
    </row>
    <row r="133" ht="15.75" customHeight="1">
      <c r="A133" s="11" t="n"/>
      <c r="B133" s="22">
        <f>IF($A133="","",IFERROR(INDEX(Clienti!$B:$B,MATCH($A133,Clienti!$A:$A,0)),"Codice non trovato"))</f>
        <v/>
      </c>
      <c r="C133" s="21" t="n"/>
      <c r="D133" s="32" t="n"/>
      <c r="E133" s="23" t="n"/>
      <c r="F133" s="26">
        <f>IF(OR($A133="",$D133=""),"",TODAY()-$D133)</f>
        <v/>
      </c>
      <c r="G133" s="26">
        <f>IF($A133="","",IF($E133=0,"Saldato","Aperto"))</f>
        <v/>
      </c>
      <c r="H133" s="24" t="n"/>
    </row>
    <row r="134" ht="15.75" customHeight="1">
      <c r="A134" s="18" t="n"/>
      <c r="B134" s="22">
        <f>IF($A134="","",IFERROR(INDEX(Clienti!$B:$B,MATCH($A134,Clienti!$A:$A,0)),"Codice non trovato"))</f>
        <v/>
      </c>
      <c r="C134" s="21" t="n"/>
      <c r="D134" s="32" t="n"/>
      <c r="E134" s="23" t="n"/>
      <c r="F134" s="26">
        <f>IF(OR($A134="",$D134=""),"",TODAY()-$D134)</f>
        <v/>
      </c>
      <c r="G134" s="26">
        <f>IF($A134="","",IF($E134=0,"Saldato","Aperto"))</f>
        <v/>
      </c>
      <c r="H134" s="24" t="n"/>
    </row>
    <row r="135" ht="15.75" customHeight="1">
      <c r="A135" s="11" t="n"/>
      <c r="B135" s="22">
        <f>IF($A135="","",IFERROR(INDEX(Clienti!$B:$B,MATCH($A135,Clienti!$A:$A,0)),"Codice non trovato"))</f>
        <v/>
      </c>
      <c r="C135" s="21" t="n"/>
      <c r="D135" s="32" t="n"/>
      <c r="E135" s="23" t="n"/>
      <c r="F135" s="26">
        <f>IF(OR($A135="",$D135=""),"",TODAY()-$D135)</f>
        <v/>
      </c>
      <c r="G135" s="26">
        <f>IF($A135="","",IF($E135=0,"Saldato","Aperto"))</f>
        <v/>
      </c>
      <c r="H135" s="24" t="n"/>
    </row>
    <row r="136" ht="15.75" customHeight="1">
      <c r="A136" s="18" t="n"/>
      <c r="B136" s="22">
        <f>IF($A136="","",IFERROR(INDEX(Clienti!$B:$B,MATCH($A136,Clienti!$A:$A,0)),"Codice non trovato"))</f>
        <v/>
      </c>
      <c r="C136" s="21" t="n"/>
      <c r="D136" s="32" t="n"/>
      <c r="E136" s="23" t="n"/>
      <c r="F136" s="26">
        <f>IF(OR($A136="",$D136=""),"",TODAY()-$D136)</f>
        <v/>
      </c>
      <c r="G136" s="26">
        <f>IF($A136="","",IF($E136=0,"Saldato","Aperto"))</f>
        <v/>
      </c>
      <c r="H136" s="24" t="n"/>
    </row>
    <row r="137" ht="15.75" customHeight="1">
      <c r="A137" s="11" t="n"/>
      <c r="B137" s="22">
        <f>IF($A137="","",IFERROR(INDEX(Clienti!$B:$B,MATCH($A137,Clienti!$A:$A,0)),"Codice non trovato"))</f>
        <v/>
      </c>
      <c r="C137" s="21" t="n"/>
      <c r="D137" s="32" t="n"/>
      <c r="E137" s="23" t="n"/>
      <c r="F137" s="26">
        <f>IF(OR($A137="",$D137=""),"",TODAY()-$D137)</f>
        <v/>
      </c>
      <c r="G137" s="26">
        <f>IF($A137="","",IF($E137=0,"Saldato","Aperto"))</f>
        <v/>
      </c>
      <c r="H137" s="24" t="n"/>
    </row>
    <row r="138" ht="15.75" customHeight="1">
      <c r="A138" s="18" t="n"/>
      <c r="B138" s="22">
        <f>IF($A138="","",IFERROR(INDEX(Clienti!$B:$B,MATCH($A138,Clienti!$A:$A,0)),"Codice non trovato"))</f>
        <v/>
      </c>
      <c r="C138" s="21" t="n"/>
      <c r="D138" s="32" t="n"/>
      <c r="E138" s="23" t="n"/>
      <c r="F138" s="26">
        <f>IF(OR($A138="",$D138=""),"",TODAY()-$D138)</f>
        <v/>
      </c>
      <c r="G138" s="26">
        <f>IF($A138="","",IF($E138=0,"Saldato","Aperto"))</f>
        <v/>
      </c>
      <c r="H138" s="24" t="n"/>
    </row>
    <row r="139" ht="15.75" customHeight="1">
      <c r="A139" s="11" t="n"/>
      <c r="B139" s="22">
        <f>IF($A139="","",IFERROR(INDEX(Clienti!$B:$B,MATCH($A139,Clienti!$A:$A,0)),"Codice non trovato"))</f>
        <v/>
      </c>
      <c r="C139" s="21" t="n"/>
      <c r="D139" s="32" t="n"/>
      <c r="E139" s="23" t="n"/>
      <c r="F139" s="26">
        <f>IF(OR($A139="",$D139=""),"",TODAY()-$D139)</f>
        <v/>
      </c>
      <c r="G139" s="26">
        <f>IF($A139="","",IF($E139=0,"Saldato","Aperto"))</f>
        <v/>
      </c>
      <c r="H139" s="24" t="n"/>
    </row>
    <row r="140" ht="15.75" customHeight="1">
      <c r="A140" s="18" t="n"/>
      <c r="B140" s="22">
        <f>IF($A140="","",IFERROR(INDEX(Clienti!$B:$B,MATCH($A140,Clienti!$A:$A,0)),"Codice non trovato"))</f>
        <v/>
      </c>
      <c r="C140" s="21" t="n"/>
      <c r="D140" s="32" t="n"/>
      <c r="E140" s="23" t="n"/>
      <c r="F140" s="26">
        <f>IF(OR($A140="",$D140=""),"",TODAY()-$D140)</f>
        <v/>
      </c>
      <c r="G140" s="26">
        <f>IF($A140="","",IF($E140=0,"Saldato","Aperto"))</f>
        <v/>
      </c>
      <c r="H140" s="24" t="n"/>
    </row>
    <row r="141" ht="15.75" customHeight="1">
      <c r="A141" s="11" t="n"/>
      <c r="B141" s="22">
        <f>IF($A141="","",IFERROR(INDEX(Clienti!$B:$B,MATCH($A141,Clienti!$A:$A,0)),"Codice non trovato"))</f>
        <v/>
      </c>
      <c r="C141" s="21" t="n"/>
      <c r="D141" s="32" t="n"/>
      <c r="E141" s="23" t="n"/>
      <c r="F141" s="26">
        <f>IF(OR($A141="",$D141=""),"",TODAY()-$D141)</f>
        <v/>
      </c>
      <c r="G141" s="26">
        <f>IF($A141="","",IF($E141=0,"Saldato","Aperto"))</f>
        <v/>
      </c>
      <c r="H141" s="24" t="n"/>
    </row>
    <row r="142" ht="15.75" customHeight="1">
      <c r="A142" s="18" t="n"/>
      <c r="B142" s="22">
        <f>IF($A142="","",IFERROR(INDEX(Clienti!$B:$B,MATCH($A142,Clienti!$A:$A,0)),"Codice non trovato"))</f>
        <v/>
      </c>
      <c r="C142" s="21" t="n"/>
      <c r="D142" s="32" t="n"/>
      <c r="E142" s="23" t="n"/>
      <c r="F142" s="26">
        <f>IF(OR($A142="",$D142=""),"",TODAY()-$D142)</f>
        <v/>
      </c>
      <c r="G142" s="26">
        <f>IF($A142="","",IF($E142=0,"Saldato","Aperto"))</f>
        <v/>
      </c>
      <c r="H142" s="24" t="n"/>
    </row>
    <row r="143" ht="15.75" customHeight="1">
      <c r="A143" s="11" t="n"/>
      <c r="B143" s="22">
        <f>IF($A143="","",IFERROR(INDEX(Clienti!$B:$B,MATCH($A143,Clienti!$A:$A,0)),"Codice non trovato"))</f>
        <v/>
      </c>
      <c r="C143" s="21" t="n"/>
      <c r="D143" s="32" t="n"/>
      <c r="E143" s="23" t="n"/>
      <c r="F143" s="26">
        <f>IF(OR($A143="",$D143=""),"",TODAY()-$D143)</f>
        <v/>
      </c>
      <c r="G143" s="26">
        <f>IF($A143="","",IF($E143=0,"Saldato","Aperto"))</f>
        <v/>
      </c>
      <c r="H143" s="24" t="n"/>
    </row>
    <row r="144" ht="15.75" customHeight="1">
      <c r="A144" s="18" t="n"/>
      <c r="B144" s="22">
        <f>IF($A144="","",IFERROR(INDEX(Clienti!$B:$B,MATCH($A144,Clienti!$A:$A,0)),"Codice non trovato"))</f>
        <v/>
      </c>
      <c r="C144" s="21" t="n"/>
      <c r="D144" s="32" t="n"/>
      <c r="E144" s="23" t="n"/>
      <c r="F144" s="26">
        <f>IF(OR($A144="",$D144=""),"",TODAY()-$D144)</f>
        <v/>
      </c>
      <c r="G144" s="26">
        <f>IF($A144="","",IF($E144=0,"Saldato","Aperto"))</f>
        <v/>
      </c>
      <c r="H144" s="24" t="n"/>
    </row>
    <row r="145" ht="15.75" customHeight="1">
      <c r="A145" s="11" t="n"/>
      <c r="B145" s="22">
        <f>IF($A145="","",IFERROR(INDEX(Clienti!$B:$B,MATCH($A145,Clienti!$A:$A,0)),"Codice non trovato"))</f>
        <v/>
      </c>
      <c r="C145" s="21" t="n"/>
      <c r="D145" s="32" t="n"/>
      <c r="E145" s="23" t="n"/>
      <c r="F145" s="26">
        <f>IF(OR($A145="",$D145=""),"",TODAY()-$D145)</f>
        <v/>
      </c>
      <c r="G145" s="26">
        <f>IF($A145="","",IF($E145=0,"Saldato","Aperto"))</f>
        <v/>
      </c>
      <c r="H145" s="24" t="n"/>
    </row>
    <row r="146" ht="15.75" customHeight="1">
      <c r="A146" s="18" t="n"/>
      <c r="B146" s="22">
        <f>IF($A146="","",IFERROR(INDEX(Clienti!$B:$B,MATCH($A146,Clienti!$A:$A,0)),"Codice non trovato"))</f>
        <v/>
      </c>
      <c r="C146" s="21" t="n"/>
      <c r="D146" s="32" t="n"/>
      <c r="E146" s="23" t="n"/>
      <c r="F146" s="26">
        <f>IF(OR($A146="",$D146=""),"",TODAY()-$D146)</f>
        <v/>
      </c>
      <c r="G146" s="26">
        <f>IF($A146="","",IF($E146=0,"Saldato","Aperto"))</f>
        <v/>
      </c>
      <c r="H146" s="24" t="n"/>
    </row>
    <row r="147" ht="15.75" customHeight="1">
      <c r="A147" s="11" t="n"/>
      <c r="B147" s="22">
        <f>IF($A147="","",IFERROR(INDEX(Clienti!$B:$B,MATCH($A147,Clienti!$A:$A,0)),"Codice non trovato"))</f>
        <v/>
      </c>
      <c r="C147" s="21" t="n"/>
      <c r="D147" s="32" t="n"/>
      <c r="E147" s="23" t="n"/>
      <c r="F147" s="26">
        <f>IF(OR($A147="",$D147=""),"",TODAY()-$D147)</f>
        <v/>
      </c>
      <c r="G147" s="26">
        <f>IF($A147="","",IF($E147=0,"Saldato","Aperto"))</f>
        <v/>
      </c>
      <c r="H147" s="24" t="n"/>
    </row>
    <row r="148" ht="15.75" customHeight="1">
      <c r="A148" s="18" t="n"/>
      <c r="B148" s="22">
        <f>IF($A148="","",IFERROR(INDEX(Clienti!$B:$B,MATCH($A148,Clienti!$A:$A,0)),"Codice non trovato"))</f>
        <v/>
      </c>
      <c r="C148" s="21" t="n"/>
      <c r="D148" s="32" t="n"/>
      <c r="E148" s="23" t="n"/>
      <c r="F148" s="26">
        <f>IF(OR($A148="",$D148=""),"",TODAY()-$D148)</f>
        <v/>
      </c>
      <c r="G148" s="26">
        <f>IF($A148="","",IF($E148=0,"Saldato","Aperto"))</f>
        <v/>
      </c>
      <c r="H148" s="24" t="n"/>
    </row>
    <row r="149" ht="15.75" customHeight="1">
      <c r="A149" s="11" t="n"/>
      <c r="B149" s="22">
        <f>IF($A149="","",IFERROR(INDEX(Clienti!$B:$B,MATCH($A149,Clienti!$A:$A,0)),"Codice non trovato"))</f>
        <v/>
      </c>
      <c r="C149" s="21" t="n"/>
      <c r="D149" s="32" t="n"/>
      <c r="E149" s="23" t="n"/>
      <c r="F149" s="26">
        <f>IF(OR($A149="",$D149=""),"",TODAY()-$D149)</f>
        <v/>
      </c>
      <c r="G149" s="26">
        <f>IF($A149="","",IF($E149=0,"Saldato","Aperto"))</f>
        <v/>
      </c>
      <c r="H149" s="24" t="n"/>
    </row>
    <row r="150" ht="15.75" customHeight="1">
      <c r="A150" s="18" t="n"/>
      <c r="B150" s="22">
        <f>IF($A150="","",IFERROR(INDEX(Clienti!$B:$B,MATCH($A150,Clienti!$A:$A,0)),"Codice non trovato"))</f>
        <v/>
      </c>
      <c r="C150" s="21" t="n"/>
      <c r="D150" s="32" t="n"/>
      <c r="E150" s="23" t="n"/>
      <c r="F150" s="26">
        <f>IF(OR($A150="",$D150=""),"",TODAY()-$D150)</f>
        <v/>
      </c>
      <c r="G150" s="26">
        <f>IF($A150="","",IF($E150=0,"Saldato","Aperto"))</f>
        <v/>
      </c>
      <c r="H150" s="24" t="n"/>
    </row>
    <row r="151" ht="15.75" customHeight="1">
      <c r="A151" s="11" t="n"/>
      <c r="B151" s="22">
        <f>IF($A151="","",IFERROR(INDEX(Clienti!$B:$B,MATCH($A151,Clienti!$A:$A,0)),"Codice non trovato"))</f>
        <v/>
      </c>
      <c r="C151" s="21" t="n"/>
      <c r="D151" s="32" t="n"/>
      <c r="E151" s="23" t="n"/>
      <c r="F151" s="26">
        <f>IF(OR($A151="",$D151=""),"",TODAY()-$D151)</f>
        <v/>
      </c>
      <c r="G151" s="26">
        <f>IF($A151="","",IF($E151=0,"Saldato","Aperto"))</f>
        <v/>
      </c>
      <c r="H151" s="24" t="n"/>
    </row>
    <row r="152" ht="15.75" customHeight="1">
      <c r="A152" s="18" t="n"/>
      <c r="B152" s="22">
        <f>IF($A152="","",IFERROR(INDEX(Clienti!$B:$B,MATCH($A152,Clienti!$A:$A,0)),"Codice non trovato"))</f>
        <v/>
      </c>
      <c r="C152" s="21" t="n"/>
      <c r="D152" s="32" t="n"/>
      <c r="E152" s="23" t="n"/>
      <c r="F152" s="26">
        <f>IF(OR($A152="",$D152=""),"",TODAY()-$D152)</f>
        <v/>
      </c>
      <c r="G152" s="26">
        <f>IF($A152="","",IF($E152=0,"Saldato","Aperto"))</f>
        <v/>
      </c>
      <c r="H152" s="24" t="n"/>
    </row>
    <row r="153" ht="15.75" customHeight="1">
      <c r="A153" s="11" t="n"/>
      <c r="B153" s="22">
        <f>IF($A153="","",IFERROR(INDEX(Clienti!$B:$B,MATCH($A153,Clienti!$A:$A,0)),"Codice non trovato"))</f>
        <v/>
      </c>
      <c r="C153" s="21" t="n"/>
      <c r="D153" s="32" t="n"/>
      <c r="E153" s="23" t="n"/>
      <c r="F153" s="26">
        <f>IF(OR($A153="",$D153=""),"",TODAY()-$D153)</f>
        <v/>
      </c>
      <c r="G153" s="26">
        <f>IF($A153="","",IF($E153=0,"Saldato","Aperto"))</f>
        <v/>
      </c>
      <c r="H153" s="24" t="n"/>
    </row>
    <row r="154" ht="15.75" customHeight="1">
      <c r="A154" s="21" t="n"/>
      <c r="B154" s="22">
        <f>IF($A154="","",IFERROR(INDEX(Clienti!$B:$B,MATCH($A154,Clienti!$A:$A,0)),"Codice non trovato"))</f>
        <v/>
      </c>
      <c r="C154" s="21" t="n"/>
      <c r="D154" s="32" t="n"/>
      <c r="E154" s="23" t="n"/>
      <c r="F154" s="26">
        <f>IF(OR($A154="",$D154=""),"",TODAY()-$D154)</f>
        <v/>
      </c>
      <c r="G154" s="26">
        <f>IF($A154="","",IF($E154=0,"Saldato","Aperto"))</f>
        <v/>
      </c>
      <c r="H154" s="24" t="n"/>
    </row>
    <row r="155" ht="15.75" customHeight="1">
      <c r="A155" s="21" t="n"/>
      <c r="B155" s="22">
        <f>IF($A155="","",IFERROR(INDEX(Clienti!$B:$B,MATCH($A155,Clienti!$A:$A,0)),"Codice non trovato"))</f>
        <v/>
      </c>
      <c r="C155" s="21" t="n"/>
      <c r="D155" s="32" t="n"/>
      <c r="E155" s="23" t="n"/>
      <c r="F155" s="26">
        <f>IF(OR($A155="",$D155=""),"",TODAY()-$D155)</f>
        <v/>
      </c>
      <c r="G155" s="26">
        <f>IF($A155="","",IF($E155=0,"Saldato","Aperto"))</f>
        <v/>
      </c>
      <c r="H155" s="24" t="n"/>
    </row>
    <row r="156" ht="15.75" customHeight="1">
      <c r="A156" s="21" t="n"/>
      <c r="B156" s="22">
        <f>IF($A156="","",IFERROR(INDEX(Clienti!$B:$B,MATCH($A156,Clienti!$A:$A,0)),"Codice non trovato"))</f>
        <v/>
      </c>
      <c r="C156" s="21" t="n"/>
      <c r="D156" s="32" t="n"/>
      <c r="E156" s="23" t="n"/>
      <c r="F156" s="26">
        <f>IF(OR($A156="",$D156=""),"",TODAY()-$D156)</f>
        <v/>
      </c>
      <c r="G156" s="26">
        <f>IF($A156="","",IF($E156=0,"Saldato","Aperto"))</f>
        <v/>
      </c>
      <c r="H156" s="24" t="n"/>
    </row>
    <row r="157" ht="15.75" customHeight="1">
      <c r="A157" s="21" t="n"/>
      <c r="B157" s="22">
        <f>IF($A157="","",IFERROR(INDEX(Clienti!$B:$B,MATCH($A157,Clienti!$A:$A,0)),"Codice non trovato"))</f>
        <v/>
      </c>
      <c r="C157" s="21" t="n"/>
      <c r="D157" s="32" t="n"/>
      <c r="E157" s="23" t="n"/>
      <c r="F157" s="26">
        <f>IF(OR($A157="",$D157=""),"",TODAY()-$D157)</f>
        <v/>
      </c>
      <c r="G157" s="26">
        <f>IF($A157="","",IF($E157=0,"Saldato","Aperto"))</f>
        <v/>
      </c>
      <c r="H157" s="24" t="n"/>
    </row>
    <row r="158" ht="15.75" customHeight="1">
      <c r="A158" s="21" t="n"/>
      <c r="B158" s="22">
        <f>IF($A158="","",IFERROR(INDEX(Clienti!$B:$B,MATCH($A158,Clienti!$A:$A,0)),"Codice non trovato"))</f>
        <v/>
      </c>
      <c r="C158" s="21" t="n"/>
      <c r="D158" s="32" t="n"/>
      <c r="E158" s="23" t="n"/>
      <c r="F158" s="26">
        <f>IF(OR($A158="",$D158=""),"",TODAY()-$D158)</f>
        <v/>
      </c>
      <c r="G158" s="26">
        <f>IF($A158="","",IF($E158=0,"Saldato","Aperto"))</f>
        <v/>
      </c>
      <c r="H158" s="24" t="n"/>
    </row>
    <row r="159" ht="15.75" customHeight="1">
      <c r="A159" s="21" t="n"/>
      <c r="B159" s="22">
        <f>IF($A159="","",IFERROR(INDEX(Clienti!$B:$B,MATCH($A159,Clienti!$A:$A,0)),"Codice non trovato"))</f>
        <v/>
      </c>
      <c r="C159" s="21" t="n"/>
      <c r="D159" s="32" t="n"/>
      <c r="E159" s="23" t="n"/>
      <c r="F159" s="26">
        <f>IF(OR($A159="",$D159=""),"",TODAY()-$D159)</f>
        <v/>
      </c>
      <c r="G159" s="26">
        <f>IF($A159="","",IF($E159=0,"Saldato","Aperto"))</f>
        <v/>
      </c>
      <c r="H159" s="24" t="n"/>
    </row>
    <row r="160" ht="15.75" customHeight="1">
      <c r="A160" s="21" t="n"/>
      <c r="B160" s="22">
        <f>IF($A160="","",IFERROR(INDEX(Clienti!$B:$B,MATCH($A160,Clienti!$A:$A,0)),"Codice non trovato"))</f>
        <v/>
      </c>
      <c r="C160" s="21" t="n"/>
      <c r="D160" s="32" t="n"/>
      <c r="E160" s="23" t="n"/>
      <c r="F160" s="26">
        <f>IF(OR($A160="",$D160=""),"",TODAY()-$D160)</f>
        <v/>
      </c>
      <c r="G160" s="26">
        <f>IF($A160="","",IF($E160=0,"Saldato","Aperto"))</f>
        <v/>
      </c>
      <c r="H160" s="24" t="n"/>
    </row>
    <row r="161" ht="15.75" customHeight="1">
      <c r="A161" s="21" t="n"/>
      <c r="B161" s="22">
        <f>IF($A161="","",IFERROR(INDEX(Clienti!$B:$B,MATCH($A161,Clienti!$A:$A,0)),"Codice non trovato"))</f>
        <v/>
      </c>
      <c r="C161" s="21" t="n"/>
      <c r="D161" s="32" t="n"/>
      <c r="E161" s="23" t="n"/>
      <c r="F161" s="26">
        <f>IF(OR($A161="",$D161=""),"",TODAY()-$D161)</f>
        <v/>
      </c>
      <c r="G161" s="26">
        <f>IF($A161="","",IF($E161=0,"Saldato","Aperto"))</f>
        <v/>
      </c>
      <c r="H161" s="24" t="n"/>
    </row>
    <row r="162" ht="15.75" customHeight="1">
      <c r="A162" s="21" t="n"/>
      <c r="B162" s="22">
        <f>IF($A162="","",IFERROR(INDEX(Clienti!$B:$B,MATCH($A162,Clienti!$A:$A,0)),"Codice non trovato"))</f>
        <v/>
      </c>
      <c r="C162" s="21" t="n"/>
      <c r="D162" s="32" t="n"/>
      <c r="E162" s="23" t="n"/>
      <c r="F162" s="26">
        <f>IF(OR($A162="",$D162=""),"",TODAY()-$D162)</f>
        <v/>
      </c>
      <c r="G162" s="26">
        <f>IF($A162="","",IF($E162=0,"Saldato","Aperto"))</f>
        <v/>
      </c>
      <c r="H162" s="24" t="n"/>
    </row>
    <row r="163" ht="15.75" customHeight="1">
      <c r="A163" s="21" t="n"/>
      <c r="B163" s="22">
        <f>IF($A163="","",IFERROR(INDEX(Clienti!$B:$B,MATCH($A163,Clienti!$A:$A,0)),"Codice non trovato"))</f>
        <v/>
      </c>
      <c r="C163" s="21" t="n"/>
      <c r="D163" s="32" t="n"/>
      <c r="E163" s="23" t="n"/>
      <c r="F163" s="26">
        <f>IF(OR($A163="",$D163=""),"",TODAY()-$D163)</f>
        <v/>
      </c>
      <c r="G163" s="26">
        <f>IF($A163="","",IF($E163=0,"Saldato","Aperto"))</f>
        <v/>
      </c>
      <c r="H163" s="24" t="n"/>
    </row>
    <row r="164" ht="15.75" customHeight="1">
      <c r="A164" s="21" t="n"/>
      <c r="B164" s="22">
        <f>IF($A164="","",IFERROR(INDEX(Clienti!$B:$B,MATCH($A164,Clienti!$A:$A,0)),"Codice non trovato"))</f>
        <v/>
      </c>
      <c r="C164" s="21" t="n"/>
      <c r="D164" s="32" t="n"/>
      <c r="E164" s="23" t="n"/>
      <c r="F164" s="26">
        <f>IF(OR($A164="",$D164=""),"",TODAY()-$D164)</f>
        <v/>
      </c>
      <c r="G164" s="26">
        <f>IF($A164="","",IF($E164=0,"Saldato","Aperto"))</f>
        <v/>
      </c>
      <c r="H164" s="24" t="n"/>
    </row>
    <row r="165" ht="15.75" customHeight="1">
      <c r="A165" s="21" t="n"/>
      <c r="B165" s="22">
        <f>IF($A165="","",IFERROR(INDEX(Clienti!$B:$B,MATCH($A165,Clienti!$A:$A,0)),"Codice non trovato"))</f>
        <v/>
      </c>
      <c r="C165" s="21" t="n"/>
      <c r="D165" s="32" t="n"/>
      <c r="E165" s="23" t="n"/>
      <c r="F165" s="26">
        <f>IF(OR($A165="",$D165=""),"",TODAY()-$D165)</f>
        <v/>
      </c>
      <c r="G165" s="26">
        <f>IF($A165="","",IF($E165=0,"Saldato","Aperto"))</f>
        <v/>
      </c>
      <c r="H165" s="24" t="n"/>
    </row>
    <row r="166" ht="15.75" customHeight="1">
      <c r="A166" s="21" t="n"/>
      <c r="B166" s="22">
        <f>IF($A166="","",IFERROR(INDEX(Clienti!$B:$B,MATCH($A166,Clienti!$A:$A,0)),"Codice non trovato"))</f>
        <v/>
      </c>
      <c r="C166" s="21" t="n"/>
      <c r="D166" s="32" t="n"/>
      <c r="E166" s="23" t="n"/>
      <c r="F166" s="26">
        <f>IF(OR($A166="",$D166=""),"",TODAY()-$D166)</f>
        <v/>
      </c>
      <c r="G166" s="26">
        <f>IF($A166="","",IF($E166=0,"Saldato","Aperto"))</f>
        <v/>
      </c>
      <c r="H166" s="24" t="n"/>
    </row>
    <row r="167" ht="15.75" customHeight="1">
      <c r="A167" s="21" t="n"/>
      <c r="B167" s="22">
        <f>IF($A167="","",IFERROR(INDEX(Clienti!$B:$B,MATCH($A167,Clienti!$A:$A,0)),"Codice non trovato"))</f>
        <v/>
      </c>
      <c r="C167" s="21" t="n"/>
      <c r="D167" s="32" t="n"/>
      <c r="E167" s="23" t="n"/>
      <c r="F167" s="26">
        <f>IF(OR($A167="",$D167=""),"",TODAY()-$D167)</f>
        <v/>
      </c>
      <c r="G167" s="26">
        <f>IF($A167="","",IF($E167=0,"Saldato","Aperto"))</f>
        <v/>
      </c>
      <c r="H167" s="24" t="n"/>
    </row>
    <row r="168" ht="15.75" customHeight="1">
      <c r="A168" s="21" t="n"/>
      <c r="B168" s="22">
        <f>IF($A168="","",IFERROR(INDEX(Clienti!$B:$B,MATCH($A168,Clienti!$A:$A,0)),"Codice non trovato"))</f>
        <v/>
      </c>
      <c r="C168" s="21" t="n"/>
      <c r="D168" s="32" t="n"/>
      <c r="E168" s="23" t="n"/>
      <c r="F168" s="26">
        <f>IF(OR($A168="",$D168=""),"",TODAY()-$D168)</f>
        <v/>
      </c>
      <c r="G168" s="26">
        <f>IF($A168="","",IF($E168=0,"Saldato","Aperto"))</f>
        <v/>
      </c>
      <c r="H168" s="24" t="n"/>
    </row>
    <row r="169" ht="15.75" customHeight="1">
      <c r="A169" s="21" t="n"/>
      <c r="B169" s="22">
        <f>IF($A169="","",IFERROR(INDEX(Clienti!$B:$B,MATCH($A169,Clienti!$A:$A,0)),"Codice non trovato"))</f>
        <v/>
      </c>
      <c r="C169" s="21" t="n"/>
      <c r="D169" s="32" t="n"/>
      <c r="E169" s="23" t="n"/>
      <c r="F169" s="26">
        <f>IF(OR($A169="",$D169=""),"",TODAY()-$D169)</f>
        <v/>
      </c>
      <c r="G169" s="26">
        <f>IF($A169="","",IF($E169=0,"Saldato","Aperto"))</f>
        <v/>
      </c>
      <c r="H169" s="24" t="n"/>
    </row>
    <row r="170" ht="15.75" customHeight="1">
      <c r="A170" s="21" t="n"/>
      <c r="B170" s="22">
        <f>IF($A170="","",IFERROR(INDEX(Clienti!$B:$B,MATCH($A170,Clienti!$A:$A,0)),"Codice non trovato"))</f>
        <v/>
      </c>
      <c r="C170" s="21" t="n"/>
      <c r="D170" s="32" t="n"/>
      <c r="E170" s="23" t="n"/>
      <c r="F170" s="26">
        <f>IF(OR($A170="",$D170=""),"",TODAY()-$D170)</f>
        <v/>
      </c>
      <c r="G170" s="26">
        <f>IF($A170="","",IF($E170=0,"Saldato","Aperto"))</f>
        <v/>
      </c>
      <c r="H170" s="24" t="n"/>
    </row>
    <row r="171" ht="15.75" customHeight="1">
      <c r="A171" s="21" t="n"/>
      <c r="B171" s="22">
        <f>IF($A171="","",IFERROR(INDEX(Clienti!$B:$B,MATCH($A171,Clienti!$A:$A,0)),"Codice non trovato"))</f>
        <v/>
      </c>
      <c r="C171" s="21" t="n"/>
      <c r="D171" s="32" t="n"/>
      <c r="E171" s="23" t="n"/>
      <c r="F171" s="26">
        <f>IF(OR($A171="",$D171=""),"",TODAY()-$D171)</f>
        <v/>
      </c>
      <c r="G171" s="26">
        <f>IF($A171="","",IF($E171=0,"Saldato","Aperto"))</f>
        <v/>
      </c>
      <c r="H171" s="24" t="n"/>
    </row>
    <row r="172" ht="15.75" customHeight="1">
      <c r="A172" s="21" t="n"/>
      <c r="B172" s="22">
        <f>IF($A172="","",IFERROR(INDEX(Clienti!$B:$B,MATCH($A172,Clienti!$A:$A,0)),"Codice non trovato"))</f>
        <v/>
      </c>
      <c r="C172" s="21" t="n"/>
      <c r="D172" s="32" t="n"/>
      <c r="E172" s="23" t="n"/>
      <c r="F172" s="26">
        <f>IF(OR($A172="",$D172=""),"",TODAY()-$D172)</f>
        <v/>
      </c>
      <c r="G172" s="26">
        <f>IF($A172="","",IF($E172=0,"Saldato","Aperto"))</f>
        <v/>
      </c>
      <c r="H172" s="24" t="n"/>
    </row>
    <row r="173" ht="15.75" customHeight="1">
      <c r="A173" s="21" t="n"/>
      <c r="B173" s="22">
        <f>IF($A173="","",IFERROR(INDEX(Clienti!$B:$B,MATCH($A173,Clienti!$A:$A,0)),"Codice non trovato"))</f>
        <v/>
      </c>
      <c r="C173" s="21" t="n"/>
      <c r="D173" s="32" t="n"/>
      <c r="E173" s="23" t="n"/>
      <c r="F173" s="26">
        <f>IF(OR($A173="",$D173=""),"",TODAY()-$D173)</f>
        <v/>
      </c>
      <c r="G173" s="26">
        <f>IF($A173="","",IF($E173=0,"Saldato","Aperto"))</f>
        <v/>
      </c>
      <c r="H173" s="24" t="n"/>
    </row>
    <row r="174" ht="15.75" customHeight="1">
      <c r="A174" s="21" t="n"/>
      <c r="B174" s="22">
        <f>IF($A174="","",IFERROR(INDEX(Clienti!$B:$B,MATCH($A174,Clienti!$A:$A,0)),"Codice non trovato"))</f>
        <v/>
      </c>
      <c r="C174" s="21" t="n"/>
      <c r="D174" s="32" t="n"/>
      <c r="E174" s="23" t="n"/>
      <c r="F174" s="26">
        <f>IF(OR($A174="",$D174=""),"",TODAY()-$D174)</f>
        <v/>
      </c>
      <c r="G174" s="26">
        <f>IF($A174="","",IF($E174=0,"Saldato","Aperto"))</f>
        <v/>
      </c>
      <c r="H174" s="24" t="n"/>
    </row>
    <row r="175" ht="15.75" customHeight="1">
      <c r="A175" s="21" t="n"/>
      <c r="B175" s="22">
        <f>IF($A175="","",IFERROR(INDEX(Clienti!$B:$B,MATCH($A175,Clienti!$A:$A,0)),"Codice non trovato"))</f>
        <v/>
      </c>
      <c r="C175" s="21" t="n"/>
      <c r="D175" s="32" t="n"/>
      <c r="E175" s="23" t="n"/>
      <c r="F175" s="26">
        <f>IF(OR($A175="",$D175=""),"",TODAY()-$D175)</f>
        <v/>
      </c>
      <c r="G175" s="26">
        <f>IF($A175="","",IF($E175=0,"Saldato","Aperto"))</f>
        <v/>
      </c>
      <c r="H175" s="24" t="n"/>
    </row>
    <row r="176" ht="15.75" customHeight="1">
      <c r="A176" s="21" t="n"/>
      <c r="B176" s="22">
        <f>IF($A176="","",IFERROR(INDEX(Clienti!$B:$B,MATCH($A176,Clienti!$A:$A,0)),"Codice non trovato"))</f>
        <v/>
      </c>
      <c r="C176" s="21" t="n"/>
      <c r="D176" s="32" t="n"/>
      <c r="E176" s="23" t="n"/>
      <c r="F176" s="26">
        <f>IF(OR($A176="",$D176=""),"",TODAY()-$D176)</f>
        <v/>
      </c>
      <c r="G176" s="26">
        <f>IF($A176="","",IF($E176=0,"Saldato","Aperto"))</f>
        <v/>
      </c>
      <c r="H176" s="24" t="n"/>
    </row>
    <row r="177" ht="15.75" customHeight="1">
      <c r="A177" s="21" t="n"/>
      <c r="B177" s="22">
        <f>IF($A177="","",IFERROR(INDEX(Clienti!$B:$B,MATCH($A177,Clienti!$A:$A,0)),"Codice non trovato"))</f>
        <v/>
      </c>
      <c r="C177" s="21" t="n"/>
      <c r="D177" s="32" t="n"/>
      <c r="E177" s="23" t="n"/>
      <c r="F177" s="26">
        <f>IF(OR($A177="",$D177=""),"",TODAY()-$D177)</f>
        <v/>
      </c>
      <c r="G177" s="26">
        <f>IF($A177="","",IF($E177=0,"Saldato","Aperto"))</f>
        <v/>
      </c>
      <c r="H177" s="24" t="n"/>
    </row>
    <row r="178" ht="15.75" customHeight="1">
      <c r="A178" s="21" t="n"/>
      <c r="B178" s="22">
        <f>IF($A178="","",IFERROR(INDEX(Clienti!$B:$B,MATCH($A178,Clienti!$A:$A,0)),"Codice non trovato"))</f>
        <v/>
      </c>
      <c r="C178" s="21" t="n"/>
      <c r="D178" s="32" t="n"/>
      <c r="E178" s="23" t="n"/>
      <c r="F178" s="26">
        <f>IF(OR($A178="",$D178=""),"",TODAY()-$D178)</f>
        <v/>
      </c>
      <c r="G178" s="26">
        <f>IF($A178="","",IF($E178=0,"Saldato","Aperto"))</f>
        <v/>
      </c>
      <c r="H178" s="24" t="n"/>
    </row>
    <row r="179" ht="15.75" customHeight="1">
      <c r="A179" s="21" t="n"/>
      <c r="B179" s="22">
        <f>IF($A179="","",IFERROR(INDEX(Clienti!$B:$B,MATCH($A179,Clienti!$A:$A,0)),"Codice non trovato"))</f>
        <v/>
      </c>
      <c r="C179" s="21" t="n"/>
      <c r="D179" s="32" t="n"/>
      <c r="E179" s="23" t="n"/>
      <c r="F179" s="26">
        <f>IF(OR($A179="",$D179=""),"",TODAY()-$D179)</f>
        <v/>
      </c>
      <c r="G179" s="26">
        <f>IF($A179="","",IF($E179=0,"Saldato","Aperto"))</f>
        <v/>
      </c>
      <c r="H179" s="24" t="n"/>
    </row>
    <row r="180" ht="15.75" customHeight="1">
      <c r="A180" s="21" t="n"/>
      <c r="B180" s="22">
        <f>IF($A180="","",IFERROR(INDEX(Clienti!$B:$B,MATCH($A180,Clienti!$A:$A,0)),"Codice non trovato"))</f>
        <v/>
      </c>
      <c r="C180" s="21" t="n"/>
      <c r="D180" s="32" t="n"/>
      <c r="E180" s="23" t="n"/>
      <c r="F180" s="26">
        <f>IF(OR($A180="",$D180=""),"",TODAY()-$D180)</f>
        <v/>
      </c>
      <c r="G180" s="26">
        <f>IF($A180="","",IF($E180=0,"Saldato","Aperto"))</f>
        <v/>
      </c>
      <c r="H180" s="24" t="n"/>
    </row>
    <row r="181" ht="15.75" customHeight="1">
      <c r="A181" s="21" t="n"/>
      <c r="B181" s="22">
        <f>IF($A181="","",IFERROR(INDEX(Clienti!$B:$B,MATCH($A181,Clienti!$A:$A,0)),"Codice non trovato"))</f>
        <v/>
      </c>
      <c r="C181" s="21" t="n"/>
      <c r="D181" s="32" t="n"/>
      <c r="E181" s="23" t="n"/>
      <c r="F181" s="26">
        <f>IF(OR($A181="",$D181=""),"",TODAY()-$D181)</f>
        <v/>
      </c>
      <c r="G181" s="26">
        <f>IF($A181="","",IF($E181=0,"Saldato","Aperto"))</f>
        <v/>
      </c>
      <c r="H181" s="24" t="n"/>
    </row>
    <row r="182" ht="15.75" customHeight="1">
      <c r="A182" s="21" t="n"/>
      <c r="B182" s="22">
        <f>IF($A182="","",IFERROR(INDEX(Clienti!$B:$B,MATCH($A182,Clienti!$A:$A,0)),"Codice non trovato"))</f>
        <v/>
      </c>
      <c r="C182" s="21" t="n"/>
      <c r="D182" s="32" t="n"/>
      <c r="E182" s="23" t="n"/>
      <c r="F182" s="26">
        <f>IF(OR($A182="",$D182=""),"",TODAY()-$D182)</f>
        <v/>
      </c>
      <c r="G182" s="26">
        <f>IF($A182="","",IF($E182=0,"Saldato","Aperto"))</f>
        <v/>
      </c>
      <c r="H182" s="24" t="n"/>
    </row>
    <row r="183" ht="15.75" customHeight="1">
      <c r="A183" s="21" t="n"/>
      <c r="B183" s="22">
        <f>IF($A183="","",IFERROR(INDEX(Clienti!$B:$B,MATCH($A183,Clienti!$A:$A,0)),"Codice non trovato"))</f>
        <v/>
      </c>
      <c r="C183" s="21" t="n"/>
      <c r="D183" s="32" t="n"/>
      <c r="E183" s="23" t="n"/>
      <c r="F183" s="26">
        <f>IF(OR($A183="",$D183=""),"",TODAY()-$D183)</f>
        <v/>
      </c>
      <c r="G183" s="26">
        <f>IF($A183="","",IF($E183=0,"Saldato","Aperto"))</f>
        <v/>
      </c>
      <c r="H183" s="24" t="n"/>
    </row>
    <row r="184" ht="15.75" customHeight="1">
      <c r="A184" s="21" t="n"/>
      <c r="B184" s="22">
        <f>IF($A184="","",IFERROR(INDEX(Clienti!$B:$B,MATCH($A184,Clienti!$A:$A,0)),"Codice non trovato"))</f>
        <v/>
      </c>
      <c r="C184" s="21" t="n"/>
      <c r="D184" s="32" t="n"/>
      <c r="E184" s="23" t="n"/>
      <c r="F184" s="26">
        <f>IF(OR($A184="",$D184=""),"",TODAY()-$D184)</f>
        <v/>
      </c>
      <c r="G184" s="26">
        <f>IF($A184="","",IF($E184=0,"Saldato","Aperto"))</f>
        <v/>
      </c>
      <c r="H184" s="24" t="n"/>
    </row>
    <row r="185" ht="15.75" customHeight="1">
      <c r="A185" s="21" t="n"/>
      <c r="B185" s="22">
        <f>IF($A185="","",IFERROR(INDEX(Clienti!$B:$B,MATCH($A185,Clienti!$A:$A,0)),"Codice non trovato"))</f>
        <v/>
      </c>
      <c r="C185" s="21" t="n"/>
      <c r="D185" s="32" t="n"/>
      <c r="E185" s="23" t="n"/>
      <c r="F185" s="26">
        <f>IF(OR($A185="",$D185=""),"",TODAY()-$D185)</f>
        <v/>
      </c>
      <c r="G185" s="26">
        <f>IF($A185="","",IF($E185=0,"Saldato","Aperto"))</f>
        <v/>
      </c>
      <c r="H185" s="24" t="n"/>
    </row>
    <row r="186" ht="15.75" customHeight="1">
      <c r="A186" s="21" t="n"/>
      <c r="B186" s="22">
        <f>IF($A186="","",IFERROR(INDEX(Clienti!$B:$B,MATCH($A186,Clienti!$A:$A,0)),"Codice non trovato"))</f>
        <v/>
      </c>
      <c r="C186" s="21" t="n"/>
      <c r="D186" s="32" t="n"/>
      <c r="E186" s="23" t="n"/>
      <c r="F186" s="26">
        <f>IF(OR($A186="",$D186=""),"",TODAY()-$D186)</f>
        <v/>
      </c>
      <c r="G186" s="26">
        <f>IF($A186="","",IF($E186=0,"Saldato","Aperto"))</f>
        <v/>
      </c>
      <c r="H186" s="24" t="n"/>
    </row>
    <row r="187" ht="15.75" customHeight="1">
      <c r="A187" s="21" t="n"/>
      <c r="B187" s="22">
        <f>IF($A187="","",IFERROR(INDEX(Clienti!$B:$B,MATCH($A187,Clienti!$A:$A,0)),"Codice non trovato"))</f>
        <v/>
      </c>
      <c r="C187" s="21" t="n"/>
      <c r="D187" s="32" t="n"/>
      <c r="E187" s="23" t="n"/>
      <c r="F187" s="26">
        <f>IF(OR($A187="",$D187=""),"",TODAY()-$D187)</f>
        <v/>
      </c>
      <c r="G187" s="26">
        <f>IF($A187="","",IF($E187=0,"Saldato","Aperto"))</f>
        <v/>
      </c>
      <c r="H187" s="24" t="n"/>
    </row>
    <row r="188" ht="15.75" customHeight="1">
      <c r="A188" s="21" t="n"/>
      <c r="B188" s="22">
        <f>IF($A188="","",IFERROR(INDEX(Clienti!$B:$B,MATCH($A188,Clienti!$A:$A,0)),"Codice non trovato"))</f>
        <v/>
      </c>
      <c r="C188" s="21" t="n"/>
      <c r="D188" s="32" t="n"/>
      <c r="E188" s="23" t="n"/>
      <c r="F188" s="26">
        <f>IF(OR($A188="",$D188=""),"",TODAY()-$D188)</f>
        <v/>
      </c>
      <c r="G188" s="26">
        <f>IF($A188="","",IF($E188=0,"Saldato","Aperto"))</f>
        <v/>
      </c>
      <c r="H188" s="24" t="n"/>
    </row>
    <row r="189" ht="15.75" customHeight="1">
      <c r="A189" s="21" t="n"/>
      <c r="B189" s="22">
        <f>IF($A189="","",IFERROR(INDEX(Clienti!$B:$B,MATCH($A189,Clienti!$A:$A,0)),"Codice non trovato"))</f>
        <v/>
      </c>
      <c r="C189" s="21" t="n"/>
      <c r="D189" s="32" t="n"/>
      <c r="E189" s="23" t="n"/>
      <c r="F189" s="26">
        <f>IF(OR($A189="",$D189=""),"",TODAY()-$D189)</f>
        <v/>
      </c>
      <c r="G189" s="26">
        <f>IF($A189="","",IF($E189=0,"Saldato","Aperto"))</f>
        <v/>
      </c>
      <c r="H189" s="24" t="n"/>
    </row>
    <row r="190" ht="15.75" customHeight="1">
      <c r="A190" s="21" t="n"/>
      <c r="B190" s="22">
        <f>IF($A190="","",IFERROR(INDEX(Clienti!$B:$B,MATCH($A190,Clienti!$A:$A,0)),"Codice non trovato"))</f>
        <v/>
      </c>
      <c r="C190" s="21" t="n"/>
      <c r="D190" s="32" t="n"/>
      <c r="E190" s="23" t="n"/>
      <c r="F190" s="26">
        <f>IF(OR($A190="",$D190=""),"",TODAY()-$D190)</f>
        <v/>
      </c>
      <c r="G190" s="26">
        <f>IF($A190="","",IF($E190=0,"Saldato","Aperto"))</f>
        <v/>
      </c>
      <c r="H190" s="24" t="n"/>
    </row>
    <row r="191" ht="15.75" customHeight="1">
      <c r="A191" s="21" t="n"/>
      <c r="B191" s="22">
        <f>IF($A191="","",IFERROR(INDEX(Clienti!$B:$B,MATCH($A191,Clienti!$A:$A,0)),"Codice non trovato"))</f>
        <v/>
      </c>
      <c r="C191" s="21" t="n"/>
      <c r="D191" s="32" t="n"/>
      <c r="E191" s="23" t="n"/>
      <c r="F191" s="26">
        <f>IF(OR($A191="",$D191=""),"",TODAY()-$D191)</f>
        <v/>
      </c>
      <c r="G191" s="26">
        <f>IF($A191="","",IF($E191=0,"Saldato","Aperto"))</f>
        <v/>
      </c>
      <c r="H191" s="24" t="n"/>
    </row>
    <row r="192" ht="15.75" customHeight="1">
      <c r="A192" s="21" t="n"/>
      <c r="B192" s="22">
        <f>IF($A192="","",IFERROR(INDEX(Clienti!$B:$B,MATCH($A192,Clienti!$A:$A,0)),"Codice non trovato"))</f>
        <v/>
      </c>
      <c r="C192" s="21" t="n"/>
      <c r="D192" s="32" t="n"/>
      <c r="E192" s="23" t="n"/>
      <c r="F192" s="26">
        <f>IF(OR($A192="",$D192=""),"",TODAY()-$D192)</f>
        <v/>
      </c>
      <c r="G192" s="26">
        <f>IF($A192="","",IF($E192=0,"Saldato","Aperto"))</f>
        <v/>
      </c>
      <c r="H192" s="24" t="n"/>
    </row>
    <row r="193" ht="15.75" customHeight="1">
      <c r="A193" s="21" t="n"/>
      <c r="B193" s="22">
        <f>IF($A193="","",IFERROR(INDEX(Clienti!$B:$B,MATCH($A193,Clienti!$A:$A,0)),"Codice non trovato"))</f>
        <v/>
      </c>
      <c r="C193" s="21" t="n"/>
      <c r="D193" s="32" t="n"/>
      <c r="E193" s="23" t="n"/>
      <c r="F193" s="26">
        <f>IF(OR($A193="",$D193=""),"",TODAY()-$D193)</f>
        <v/>
      </c>
      <c r="G193" s="26">
        <f>IF($A193="","",IF($E193=0,"Saldato","Aperto"))</f>
        <v/>
      </c>
      <c r="H193" s="24" t="n"/>
    </row>
    <row r="194" ht="15.75" customHeight="1">
      <c r="A194" s="21" t="n"/>
      <c r="B194" s="22">
        <f>IF($A194="","",IFERROR(INDEX(Clienti!$B:$B,MATCH($A194,Clienti!$A:$A,0)),"Codice non trovato"))</f>
        <v/>
      </c>
      <c r="C194" s="21" t="n"/>
      <c r="D194" s="32" t="n"/>
      <c r="E194" s="23" t="n"/>
      <c r="F194" s="26">
        <f>IF(OR($A194="",$D194=""),"",TODAY()-$D194)</f>
        <v/>
      </c>
      <c r="G194" s="26">
        <f>IF($A194="","",IF($E194=0,"Saldato","Aperto"))</f>
        <v/>
      </c>
      <c r="H194" s="24" t="n"/>
    </row>
    <row r="195" ht="15.75" customHeight="1">
      <c r="A195" s="21" t="n"/>
      <c r="B195" s="22">
        <f>IF($A195="","",IFERROR(INDEX(Clienti!$B:$B,MATCH($A195,Clienti!$A:$A,0)),"Codice non trovato"))</f>
        <v/>
      </c>
      <c r="C195" s="21" t="n"/>
      <c r="D195" s="32" t="n"/>
      <c r="E195" s="23" t="n"/>
      <c r="F195" s="26">
        <f>IF(OR($A195="",$D195=""),"",TODAY()-$D195)</f>
        <v/>
      </c>
      <c r="G195" s="26">
        <f>IF($A195="","",IF($E195=0,"Saldato","Aperto"))</f>
        <v/>
      </c>
      <c r="H195" s="24" t="n"/>
    </row>
    <row r="196" ht="15.75" customHeight="1">
      <c r="A196" s="21" t="n"/>
      <c r="B196" s="22">
        <f>IF($A196="","",IFERROR(INDEX(Clienti!$B:$B,MATCH($A196,Clienti!$A:$A,0)),"Codice non trovato"))</f>
        <v/>
      </c>
      <c r="C196" s="21" t="n"/>
      <c r="D196" s="32" t="n"/>
      <c r="E196" s="23" t="n"/>
      <c r="F196" s="26">
        <f>IF(OR($A196="",$D196=""),"",TODAY()-$D196)</f>
        <v/>
      </c>
      <c r="G196" s="26">
        <f>IF($A196="","",IF($E196=0,"Saldato","Aperto"))</f>
        <v/>
      </c>
      <c r="H196" s="24" t="n"/>
    </row>
    <row r="197" ht="15.75" customHeight="1">
      <c r="A197" s="21" t="n"/>
      <c r="B197" s="22">
        <f>IF($A197="","",IFERROR(INDEX(Clienti!$B:$B,MATCH($A197,Clienti!$A:$A,0)),"Codice non trovato"))</f>
        <v/>
      </c>
      <c r="C197" s="21" t="n"/>
      <c r="D197" s="32" t="n"/>
      <c r="E197" s="23" t="n"/>
      <c r="F197" s="26">
        <f>IF(OR($A197="",$D197=""),"",TODAY()-$D197)</f>
        <v/>
      </c>
      <c r="G197" s="26">
        <f>IF($A197="","",IF($E197=0,"Saldato","Aperto"))</f>
        <v/>
      </c>
      <c r="H197" s="24" t="n"/>
    </row>
    <row r="198" ht="15.75" customHeight="1">
      <c r="A198" s="21" t="n"/>
      <c r="B198" s="22">
        <f>IF($A198="","",IFERROR(INDEX(Clienti!$B:$B,MATCH($A198,Clienti!$A:$A,0)),"Codice non trovato"))</f>
        <v/>
      </c>
      <c r="C198" s="21" t="n"/>
      <c r="D198" s="32" t="n"/>
      <c r="E198" s="23" t="n"/>
      <c r="F198" s="26">
        <f>IF(OR($A198="",$D198=""),"",TODAY()-$D198)</f>
        <v/>
      </c>
      <c r="G198" s="26">
        <f>IF($A198="","",IF($E198=0,"Saldato","Aperto"))</f>
        <v/>
      </c>
      <c r="H198" s="24" t="n"/>
    </row>
    <row r="199" ht="15.75" customHeight="1">
      <c r="A199" s="21" t="n"/>
      <c r="B199" s="22">
        <f>IF($A199="","",IFERROR(INDEX(Clienti!$B:$B,MATCH($A199,Clienti!$A:$A,0)),"Codice non trovato"))</f>
        <v/>
      </c>
      <c r="C199" s="21" t="n"/>
      <c r="D199" s="32" t="n"/>
      <c r="E199" s="23" t="n"/>
      <c r="F199" s="26">
        <f>IF(OR($A199="",$D199=""),"",TODAY()-$D199)</f>
        <v/>
      </c>
      <c r="G199" s="26">
        <f>IF($A199="","",IF($E199=0,"Saldato","Aperto"))</f>
        <v/>
      </c>
      <c r="H199" s="24" t="n"/>
    </row>
    <row r="200" ht="15.75" customHeight="1">
      <c r="A200" s="21" t="n"/>
      <c r="B200" s="22">
        <f>IF($A200="","",IFERROR(INDEX(Clienti!$B:$B,MATCH($A200,Clienti!$A:$A,0)),"Codice non trovato"))</f>
        <v/>
      </c>
      <c r="C200" s="21" t="n"/>
      <c r="D200" s="32" t="n"/>
      <c r="E200" s="23" t="n"/>
      <c r="F200" s="26">
        <f>IF(OR($A200="",$D200=""),"",TODAY()-$D200)</f>
        <v/>
      </c>
      <c r="G200" s="26">
        <f>IF($A200="","",IF($E200=0,"Saldato","Aperto"))</f>
        <v/>
      </c>
      <c r="H200" s="24" t="n"/>
    </row>
    <row r="201" ht="15.75" customHeight="1">
      <c r="A201" s="21" t="n"/>
      <c r="B201" s="22">
        <f>IF($A201="","",IFERROR(INDEX(Clienti!$B:$B,MATCH($A201,Clienti!$A:$A,0)),"Codice non trovato"))</f>
        <v/>
      </c>
      <c r="C201" s="21" t="n"/>
      <c r="D201" s="32" t="n"/>
      <c r="E201" s="23" t="n"/>
      <c r="F201" s="26">
        <f>IF(OR($A201="",$D201=""),"",TODAY()-$D201)</f>
        <v/>
      </c>
      <c r="G201" s="26">
        <f>IF($A201="","",IF($E201=0,"Saldato","Aperto"))</f>
        <v/>
      </c>
      <c r="H201" s="24" t="n"/>
    </row>
    <row r="202" ht="15.75" customHeight="1">
      <c r="A202" s="21" t="n"/>
      <c r="B202" s="22">
        <f>IF($A202="","",IFERROR(INDEX(Clienti!$B:$B,MATCH($A202,Clienti!$A:$A,0)),"Codice non trovato"))</f>
        <v/>
      </c>
      <c r="C202" s="21" t="n"/>
      <c r="D202" s="32" t="n"/>
      <c r="E202" s="23" t="n"/>
      <c r="F202" s="26">
        <f>IF(OR($A202="",$D202=""),"",TODAY()-$D202)</f>
        <v/>
      </c>
      <c r="G202" s="26">
        <f>IF($A202="","",IF($E202=0,"Saldato","Aperto"))</f>
        <v/>
      </c>
      <c r="H202" s="24" t="n"/>
    </row>
    <row r="203" ht="15.75" customHeight="1">
      <c r="A203" s="21" t="n"/>
      <c r="B203" s="22">
        <f>IF($A203="","",IFERROR(INDEX(Clienti!$B:$B,MATCH($A203,Clienti!$A:$A,0)),"Codice non trovato"))</f>
        <v/>
      </c>
      <c r="C203" s="21" t="n"/>
      <c r="D203" s="32" t="n"/>
      <c r="E203" s="23" t="n"/>
      <c r="F203" s="26">
        <f>IF(OR($A203="",$D203=""),"",TODAY()-$D203)</f>
        <v/>
      </c>
      <c r="G203" s="26">
        <f>IF($A203="","",IF($E203=0,"Saldato","Aperto"))</f>
        <v/>
      </c>
      <c r="H203" s="24" t="n"/>
    </row>
    <row r="204" ht="15.75" customHeight="1">
      <c r="A204" s="21" t="n"/>
      <c r="B204" s="22">
        <f>IF($A204="","",IFERROR(INDEX(Clienti!$B:$B,MATCH($A204,Clienti!$A:$A,0)),"Codice non trovato"))</f>
        <v/>
      </c>
      <c r="C204" s="21" t="n"/>
      <c r="D204" s="32" t="n"/>
      <c r="E204" s="23" t="n"/>
      <c r="F204" s="26">
        <f>IF(OR($A204="",$D204=""),"",TODAY()-$D204)</f>
        <v/>
      </c>
      <c r="G204" s="26">
        <f>IF($A204="","",IF($E204=0,"Saldato","Aperto"))</f>
        <v/>
      </c>
      <c r="H204" s="24" t="n"/>
    </row>
    <row r="205" ht="15.75" customHeight="1">
      <c r="A205" s="21" t="n"/>
      <c r="B205" s="22">
        <f>IF($A205="","",IFERROR(INDEX(Clienti!$B:$B,MATCH($A205,Clienti!$A:$A,0)),"Codice non trovato"))</f>
        <v/>
      </c>
      <c r="C205" s="21" t="n"/>
      <c r="D205" s="32" t="n"/>
      <c r="E205" s="23" t="n"/>
      <c r="F205" s="26">
        <f>IF(OR($A205="",$D205=""),"",TODAY()-$D205)</f>
        <v/>
      </c>
      <c r="G205" s="26">
        <f>IF($A205="","",IF($E205=0,"Saldato","Aperto"))</f>
        <v/>
      </c>
      <c r="H205" s="24" t="n"/>
    </row>
    <row r="206" ht="15.75" customHeight="1">
      <c r="A206" s="21" t="n"/>
      <c r="B206" s="22">
        <f>IF($A206="","",IFERROR(INDEX(Clienti!$B:$B,MATCH($A206,Clienti!$A:$A,0)),"Codice non trovato"))</f>
        <v/>
      </c>
      <c r="C206" s="21" t="n"/>
      <c r="D206" s="32" t="n"/>
      <c r="E206" s="23" t="n"/>
      <c r="F206" s="26">
        <f>IF(OR($A206="",$D206=""),"",TODAY()-$D206)</f>
        <v/>
      </c>
      <c r="G206" s="26">
        <f>IF($A206="","",IF($E206=0,"Saldato","Aperto"))</f>
        <v/>
      </c>
      <c r="H206" s="24" t="n"/>
    </row>
    <row r="207" ht="15.75" customHeight="1">
      <c r="A207" s="21" t="n"/>
      <c r="B207" s="22">
        <f>IF($A207="","",IFERROR(INDEX(Clienti!$B:$B,MATCH($A207,Clienti!$A:$A,0)),"Codice non trovato"))</f>
        <v/>
      </c>
      <c r="C207" s="21" t="n"/>
      <c r="D207" s="32" t="n"/>
      <c r="E207" s="23" t="n"/>
      <c r="F207" s="26">
        <f>IF(OR($A207="",$D207=""),"",TODAY()-$D207)</f>
        <v/>
      </c>
      <c r="G207" s="26">
        <f>IF($A207="","",IF($E207=0,"Saldato","Aperto"))</f>
        <v/>
      </c>
      <c r="H207" s="24" t="n"/>
    </row>
    <row r="208" ht="15.75" customHeight="1">
      <c r="A208" s="21" t="n"/>
      <c r="B208" s="22">
        <f>IF($A208="","",IFERROR(INDEX(Clienti!$B:$B,MATCH($A208,Clienti!$A:$A,0)),"Codice non trovato"))</f>
        <v/>
      </c>
      <c r="C208" s="21" t="n"/>
      <c r="D208" s="32" t="n"/>
      <c r="E208" s="23" t="n"/>
      <c r="F208" s="26">
        <f>IF(OR($A208="",$D208=""),"",TODAY()-$D208)</f>
        <v/>
      </c>
      <c r="G208" s="26">
        <f>IF($A208="","",IF($E208=0,"Saldato","Aperto"))</f>
        <v/>
      </c>
      <c r="H208" s="24" t="n"/>
    </row>
    <row r="209" ht="15.75" customHeight="1">
      <c r="A209" s="21" t="n"/>
      <c r="B209" s="22">
        <f>IF($A209="","",IFERROR(INDEX(Clienti!$B:$B,MATCH($A209,Clienti!$A:$A,0)),"Codice non trovato"))</f>
        <v/>
      </c>
      <c r="C209" s="21" t="n"/>
      <c r="D209" s="32" t="n"/>
      <c r="E209" s="23" t="n"/>
      <c r="F209" s="26">
        <f>IF(OR($A209="",$D209=""),"",TODAY()-$D209)</f>
        <v/>
      </c>
      <c r="G209" s="26">
        <f>IF($A209="","",IF($E209=0,"Saldato","Aperto"))</f>
        <v/>
      </c>
      <c r="H209" s="24" t="n"/>
    </row>
    <row r="210" ht="15.75" customHeight="1">
      <c r="A210" s="21" t="n"/>
      <c r="B210" s="22">
        <f>IF($A210="","",IFERROR(INDEX(Clienti!$B:$B,MATCH($A210,Clienti!$A:$A,0)),"Codice non trovato"))</f>
        <v/>
      </c>
      <c r="C210" s="21" t="n"/>
      <c r="D210" s="32" t="n"/>
      <c r="E210" s="23" t="n"/>
      <c r="F210" s="26">
        <f>IF(OR($A210="",$D210=""),"",TODAY()-$D210)</f>
        <v/>
      </c>
      <c r="G210" s="26">
        <f>IF($A210="","",IF($E210=0,"Saldato","Aperto"))</f>
        <v/>
      </c>
      <c r="H210" s="24" t="n"/>
    </row>
    <row r="211" ht="15.75" customHeight="1">
      <c r="A211" s="21" t="n"/>
      <c r="B211" s="22">
        <f>IF($A211="","",IFERROR(INDEX(Clienti!$B:$B,MATCH($A211,Clienti!$A:$A,0)),"Codice non trovato"))</f>
        <v/>
      </c>
      <c r="C211" s="21" t="n"/>
      <c r="D211" s="32" t="n"/>
      <c r="E211" s="23" t="n"/>
      <c r="F211" s="26">
        <f>IF(OR($A211="",$D211=""),"",TODAY()-$D211)</f>
        <v/>
      </c>
      <c r="G211" s="26">
        <f>IF($A211="","",IF($E211=0,"Saldato","Aperto"))</f>
        <v/>
      </c>
      <c r="H211" s="24" t="n"/>
    </row>
    <row r="212" ht="15.75" customHeight="1">
      <c r="A212" s="21" t="n"/>
      <c r="B212" s="22">
        <f>IF($A212="","",IFERROR(INDEX(Clienti!$B:$B,MATCH($A212,Clienti!$A:$A,0)),"Codice non trovato"))</f>
        <v/>
      </c>
      <c r="C212" s="21" t="n"/>
      <c r="D212" s="32" t="n"/>
      <c r="E212" s="23" t="n"/>
      <c r="F212" s="26">
        <f>IF(OR($A212="",$D212=""),"",TODAY()-$D212)</f>
        <v/>
      </c>
      <c r="G212" s="26">
        <f>IF($A212="","",IF($E212=0,"Saldato","Aperto"))</f>
        <v/>
      </c>
      <c r="H212" s="24" t="n"/>
    </row>
    <row r="213" ht="15.75" customHeight="1">
      <c r="A213" s="21" t="n"/>
      <c r="B213" s="22">
        <f>IF($A213="","",IFERROR(INDEX(Clienti!$B:$B,MATCH($A213,Clienti!$A:$A,0)),"Codice non trovato"))</f>
        <v/>
      </c>
      <c r="C213" s="21" t="n"/>
      <c r="D213" s="32" t="n"/>
      <c r="E213" s="23" t="n"/>
      <c r="F213" s="26">
        <f>IF(OR($A213="",$D213=""),"",TODAY()-$D213)</f>
        <v/>
      </c>
      <c r="G213" s="26">
        <f>IF($A213="","",IF($E213=0,"Saldato","Aperto"))</f>
        <v/>
      </c>
      <c r="H213" s="24" t="n"/>
    </row>
    <row r="214" ht="15.75" customHeight="1">
      <c r="A214" s="21" t="n"/>
      <c r="B214" s="22">
        <f>IF($A214="","",IFERROR(INDEX(Clienti!$B:$B,MATCH($A214,Clienti!$A:$A,0)),"Codice non trovato"))</f>
        <v/>
      </c>
      <c r="C214" s="21" t="n"/>
      <c r="D214" s="32" t="n"/>
      <c r="E214" s="23" t="n"/>
      <c r="F214" s="26">
        <f>IF(OR($A214="",$D214=""),"",TODAY()-$D214)</f>
        <v/>
      </c>
      <c r="G214" s="26">
        <f>IF($A214="","",IF($E214=0,"Saldato","Aperto"))</f>
        <v/>
      </c>
      <c r="H214" s="24" t="n"/>
    </row>
    <row r="215" ht="15.75" customHeight="1">
      <c r="A215" s="21" t="n"/>
      <c r="B215" s="22">
        <f>IF($A215="","",IFERROR(INDEX(Clienti!$B:$B,MATCH($A215,Clienti!$A:$A,0)),"Codice non trovato"))</f>
        <v/>
      </c>
      <c r="C215" s="21" t="n"/>
      <c r="D215" s="32" t="n"/>
      <c r="E215" s="23" t="n"/>
      <c r="F215" s="26">
        <f>IF(OR($A215="",$D215=""),"",TODAY()-$D215)</f>
        <v/>
      </c>
      <c r="G215" s="26">
        <f>IF($A215="","",IF($E215=0,"Saldato","Aperto"))</f>
        <v/>
      </c>
      <c r="H215" s="24" t="n"/>
    </row>
    <row r="216" ht="15.75" customHeight="1">
      <c r="A216" s="21" t="n"/>
      <c r="B216" s="22">
        <f>IF($A216="","",IFERROR(INDEX(Clienti!$B:$B,MATCH($A216,Clienti!$A:$A,0)),"Codice non trovato"))</f>
        <v/>
      </c>
      <c r="C216" s="21" t="n"/>
      <c r="D216" s="32" t="n"/>
      <c r="E216" s="23" t="n"/>
      <c r="F216" s="26">
        <f>IF(OR($A216="",$D216=""),"",TODAY()-$D216)</f>
        <v/>
      </c>
      <c r="G216" s="26">
        <f>IF($A216="","",IF($E216=0,"Saldato","Aperto"))</f>
        <v/>
      </c>
      <c r="H216" s="24" t="n"/>
    </row>
    <row r="217" ht="15.75" customHeight="1">
      <c r="A217" s="21" t="n"/>
      <c r="B217" s="22">
        <f>IF($A217="","",IFERROR(INDEX(Clienti!$B:$B,MATCH($A217,Clienti!$A:$A,0)),"Codice non trovato"))</f>
        <v/>
      </c>
      <c r="C217" s="21" t="n"/>
      <c r="D217" s="32" t="n"/>
      <c r="E217" s="23" t="n"/>
      <c r="F217" s="26">
        <f>IF(OR($A217="",$D217=""),"",TODAY()-$D217)</f>
        <v/>
      </c>
      <c r="G217" s="26">
        <f>IF($A217="","",IF($E217=0,"Saldato","Aperto"))</f>
        <v/>
      </c>
      <c r="H217" s="24" t="n"/>
    </row>
    <row r="218" ht="15.75" customHeight="1">
      <c r="A218" s="21" t="n"/>
      <c r="B218" s="22">
        <f>IF($A218="","",IFERROR(INDEX(Clienti!$B:$B,MATCH($A218,Clienti!$A:$A,0)),"Codice non trovato"))</f>
        <v/>
      </c>
      <c r="C218" s="21" t="n"/>
      <c r="D218" s="32" t="n"/>
      <c r="E218" s="23" t="n"/>
      <c r="F218" s="26">
        <f>IF(OR($A218="",$D218=""),"",TODAY()-$D218)</f>
        <v/>
      </c>
      <c r="G218" s="26">
        <f>IF($A218="","",IF($E218=0,"Saldato","Aperto"))</f>
        <v/>
      </c>
      <c r="H218" s="24" t="n"/>
    </row>
    <row r="219" ht="15.75" customHeight="1">
      <c r="A219" s="21" t="n"/>
      <c r="B219" s="22">
        <f>IF($A219="","",IFERROR(INDEX(Clienti!$B:$B,MATCH($A219,Clienti!$A:$A,0)),"Codice non trovato"))</f>
        <v/>
      </c>
      <c r="C219" s="21" t="n"/>
      <c r="D219" s="32" t="n"/>
      <c r="E219" s="23" t="n"/>
      <c r="F219" s="26">
        <f>IF(OR($A219="",$D219=""),"",TODAY()-$D219)</f>
        <v/>
      </c>
      <c r="G219" s="26">
        <f>IF($A219="","",IF($E219=0,"Saldato","Aperto"))</f>
        <v/>
      </c>
      <c r="H219" s="24" t="n"/>
    </row>
    <row r="220" ht="15.75" customHeight="1">
      <c r="A220" s="21" t="n"/>
      <c r="B220" s="22">
        <f>IF($A220="","",IFERROR(INDEX(Clienti!$B:$B,MATCH($A220,Clienti!$A:$A,0)),"Codice non trovato"))</f>
        <v/>
      </c>
      <c r="C220" s="21" t="n"/>
      <c r="D220" s="32" t="n"/>
      <c r="E220" s="23" t="n"/>
      <c r="F220" s="26">
        <f>IF(OR($A220="",$D220=""),"",TODAY()-$D220)</f>
        <v/>
      </c>
      <c r="G220" s="26">
        <f>IF($A220="","",IF($E220=0,"Saldato","Aperto"))</f>
        <v/>
      </c>
      <c r="H220" s="24" t="n"/>
    </row>
    <row r="221" ht="15.75" customHeight="1">
      <c r="A221" s="21" t="n"/>
      <c r="B221" s="22">
        <f>IF($A221="","",IFERROR(INDEX(Clienti!$B:$B,MATCH($A221,Clienti!$A:$A,0)),"Codice non trovato"))</f>
        <v/>
      </c>
      <c r="C221" s="21" t="n"/>
      <c r="D221" s="32" t="n"/>
      <c r="E221" s="23" t="n"/>
      <c r="F221" s="26">
        <f>IF(OR($A221="",$D221=""),"",TODAY()-$D221)</f>
        <v/>
      </c>
      <c r="G221" s="26">
        <f>IF($A221="","",IF($E221=0,"Saldato","Aperto"))</f>
        <v/>
      </c>
      <c r="H221" s="24" t="n"/>
    </row>
    <row r="222" ht="15.75" customHeight="1">
      <c r="A222" s="21" t="n"/>
      <c r="B222" s="22">
        <f>IF($A222="","",IFERROR(INDEX(Clienti!$B:$B,MATCH($A222,Clienti!$A:$A,0)),"Codice non trovato"))</f>
        <v/>
      </c>
      <c r="C222" s="21" t="n"/>
      <c r="D222" s="32" t="n"/>
      <c r="E222" s="23" t="n"/>
      <c r="F222" s="26">
        <f>IF(OR($A222="",$D222=""),"",TODAY()-$D222)</f>
        <v/>
      </c>
      <c r="G222" s="26">
        <f>IF($A222="","",IF($E222=0,"Saldato","Aperto"))</f>
        <v/>
      </c>
      <c r="H222" s="24" t="n"/>
    </row>
    <row r="223" ht="15.75" customHeight="1">
      <c r="A223" s="21" t="n"/>
      <c r="B223" s="22">
        <f>IF($A223="","",IFERROR(INDEX(Clienti!$B:$B,MATCH($A223,Clienti!$A:$A,0)),"Codice non trovato"))</f>
        <v/>
      </c>
      <c r="C223" s="21" t="n"/>
      <c r="D223" s="32" t="n"/>
      <c r="E223" s="23" t="n"/>
      <c r="F223" s="26">
        <f>IF(OR($A223="",$D223=""),"",TODAY()-$D223)</f>
        <v/>
      </c>
      <c r="G223" s="26">
        <f>IF($A223="","",IF($E223=0,"Saldato","Aperto"))</f>
        <v/>
      </c>
      <c r="H223" s="24" t="n"/>
    </row>
    <row r="224" ht="15.75" customHeight="1">
      <c r="A224" s="21" t="n"/>
      <c r="B224" s="22">
        <f>IF($A224="","",IFERROR(INDEX(Clienti!$B:$B,MATCH($A224,Clienti!$A:$A,0)),"Codice non trovato"))</f>
        <v/>
      </c>
      <c r="C224" s="21" t="n"/>
      <c r="D224" s="32" t="n"/>
      <c r="E224" s="23" t="n"/>
      <c r="F224" s="26">
        <f>IF(OR($A224="",$D224=""),"",TODAY()-$D224)</f>
        <v/>
      </c>
      <c r="G224" s="26">
        <f>IF($A224="","",IF($E224=0,"Saldato","Aperto"))</f>
        <v/>
      </c>
      <c r="H224" s="24" t="n"/>
    </row>
    <row r="225" ht="15.75" customHeight="1">
      <c r="A225" s="21" t="n"/>
      <c r="B225" s="22">
        <f>IF($A225="","",IFERROR(INDEX(Clienti!$B:$B,MATCH($A225,Clienti!$A:$A,0)),"Codice non trovato"))</f>
        <v/>
      </c>
      <c r="C225" s="21" t="n"/>
      <c r="D225" s="32" t="n"/>
      <c r="E225" s="23" t="n"/>
      <c r="F225" s="26">
        <f>IF(OR($A225="",$D225=""),"",TODAY()-$D225)</f>
        <v/>
      </c>
      <c r="G225" s="26">
        <f>IF($A225="","",IF($E225=0,"Saldato","Aperto"))</f>
        <v/>
      </c>
      <c r="H225" s="24" t="n"/>
    </row>
    <row r="226" ht="15.75" customHeight="1">
      <c r="A226" s="21" t="n"/>
      <c r="B226" s="22">
        <f>IF($A226="","",IFERROR(INDEX(Clienti!$B:$B,MATCH($A226,Clienti!$A:$A,0)),"Codice non trovato"))</f>
        <v/>
      </c>
      <c r="C226" s="21" t="n"/>
      <c r="D226" s="32" t="n"/>
      <c r="E226" s="23" t="n"/>
      <c r="F226" s="26">
        <f>IF(OR($A226="",$D226=""),"",TODAY()-$D226)</f>
        <v/>
      </c>
      <c r="G226" s="26">
        <f>IF($A226="","",IF($E226=0,"Saldato","Aperto"))</f>
        <v/>
      </c>
      <c r="H226" s="24" t="n"/>
    </row>
    <row r="227" ht="15.75" customHeight="1">
      <c r="A227" s="21" t="n"/>
      <c r="B227" s="22">
        <f>IF($A227="","",IFERROR(INDEX(Clienti!$B:$B,MATCH($A227,Clienti!$A:$A,0)),"Codice non trovato"))</f>
        <v/>
      </c>
      <c r="C227" s="21" t="n"/>
      <c r="D227" s="32" t="n"/>
      <c r="E227" s="23" t="n"/>
      <c r="F227" s="26">
        <f>IF(OR($A227="",$D227=""),"",TODAY()-$D227)</f>
        <v/>
      </c>
      <c r="G227" s="26">
        <f>IF($A227="","",IF($E227=0,"Saldato","Aperto"))</f>
        <v/>
      </c>
      <c r="H227" s="24" t="n"/>
    </row>
    <row r="228" ht="15.75" customHeight="1">
      <c r="A228" s="21" t="n"/>
      <c r="B228" s="22">
        <f>IF($A228="","",IFERROR(INDEX(Clienti!$B:$B,MATCH($A228,Clienti!$A:$A,0)),"Codice non trovato"))</f>
        <v/>
      </c>
      <c r="C228" s="21" t="n"/>
      <c r="D228" s="32" t="n"/>
      <c r="E228" s="23" t="n"/>
      <c r="F228" s="26">
        <f>IF(OR($A228="",$D228=""),"",TODAY()-$D228)</f>
        <v/>
      </c>
      <c r="G228" s="26">
        <f>IF($A228="","",IF($E228=0,"Saldato","Aperto"))</f>
        <v/>
      </c>
      <c r="H228" s="24" t="n"/>
    </row>
    <row r="229" ht="15.75" customHeight="1">
      <c r="A229" s="21" t="n"/>
      <c r="B229" s="22">
        <f>IF($A229="","",IFERROR(INDEX(Clienti!$B:$B,MATCH($A229,Clienti!$A:$A,0)),"Codice non trovato"))</f>
        <v/>
      </c>
      <c r="C229" s="21" t="n"/>
      <c r="D229" s="32" t="n"/>
      <c r="E229" s="23" t="n"/>
      <c r="F229" s="26">
        <f>IF(OR($A229="",$D229=""),"",TODAY()-$D229)</f>
        <v/>
      </c>
      <c r="G229" s="26">
        <f>IF($A229="","",IF($E229=0,"Saldato","Aperto"))</f>
        <v/>
      </c>
      <c r="H229" s="24" t="n"/>
    </row>
    <row r="230" ht="15.75" customHeight="1">
      <c r="A230" s="21" t="n"/>
      <c r="B230" s="22">
        <f>IF($A230="","",IFERROR(INDEX(Clienti!$B:$B,MATCH($A230,Clienti!$A:$A,0)),"Codice non trovato"))</f>
        <v/>
      </c>
      <c r="C230" s="21" t="n"/>
      <c r="D230" s="32" t="n"/>
      <c r="E230" s="23" t="n"/>
      <c r="F230" s="26">
        <f>IF(OR($A230="",$D230=""),"",TODAY()-$D230)</f>
        <v/>
      </c>
      <c r="G230" s="26">
        <f>IF($A230="","",IF($E230=0,"Saldato","Aperto"))</f>
        <v/>
      </c>
      <c r="H230" s="24" t="n"/>
    </row>
    <row r="231" ht="15.75" customHeight="1">
      <c r="A231" s="21" t="n"/>
      <c r="B231" s="22">
        <f>IF($A231="","",IFERROR(INDEX(Clienti!$B:$B,MATCH($A231,Clienti!$A:$A,0)),"Codice non trovato"))</f>
        <v/>
      </c>
      <c r="C231" s="21" t="n"/>
      <c r="D231" s="32" t="n"/>
      <c r="E231" s="23" t="n"/>
      <c r="F231" s="26">
        <f>IF(OR($A231="",$D231=""),"",TODAY()-$D231)</f>
        <v/>
      </c>
      <c r="G231" s="26">
        <f>IF($A231="","",IF($E231=0,"Saldato","Aperto"))</f>
        <v/>
      </c>
      <c r="H231" s="24" t="n"/>
    </row>
    <row r="232" ht="15.75" customHeight="1">
      <c r="A232" s="21" t="n"/>
      <c r="B232" s="22">
        <f>IF($A232="","",IFERROR(INDEX(Clienti!$B:$B,MATCH($A232,Clienti!$A:$A,0)),"Codice non trovato"))</f>
        <v/>
      </c>
      <c r="C232" s="21" t="n"/>
      <c r="D232" s="20" t="n"/>
      <c r="E232" s="23" t="n"/>
      <c r="F232" s="26">
        <f>IF(OR($A232="",$D232=""),"",TODAY()-$D232)</f>
        <v/>
      </c>
      <c r="G232" s="26">
        <f>IF($A232="","",IF($E232=0,"Saldato","Aperto"))</f>
        <v/>
      </c>
      <c r="H232" s="24" t="n"/>
    </row>
    <row r="233" ht="15.75" customHeight="1">
      <c r="A233" s="21" t="n"/>
      <c r="B233" s="22">
        <f>IF($A233="","",IFERROR(INDEX(Clienti!$B:$B,MATCH($A233,Clienti!$A:$A,0)),"Codice non trovato"))</f>
        <v/>
      </c>
      <c r="C233" s="21" t="n"/>
      <c r="D233" s="20" t="n"/>
      <c r="E233" s="23" t="n"/>
      <c r="F233" s="26">
        <f>IF(OR($A233="",$D233=""),"",TODAY()-$D233)</f>
        <v/>
      </c>
      <c r="G233" s="26">
        <f>IF($A233="","",IF($E233=0,"Saldato","Aperto"))</f>
        <v/>
      </c>
      <c r="H233" s="24" t="n"/>
    </row>
    <row r="234" ht="15.75" customHeight="1">
      <c r="A234" s="21" t="n"/>
      <c r="B234" s="22">
        <f>IF($A234="","",IFERROR(INDEX(Clienti!$B:$B,MATCH($A234,Clienti!$A:$A,0)),"Codice non trovato"))</f>
        <v/>
      </c>
      <c r="C234" s="21" t="n"/>
      <c r="D234" s="20" t="n"/>
      <c r="E234" s="23" t="n"/>
      <c r="F234" s="26">
        <f>IF(OR($A234="",$D234=""),"",TODAY()-$D234)</f>
        <v/>
      </c>
      <c r="G234" s="26">
        <f>IF($A234="","",IF($E234=0,"Saldato","Aperto"))</f>
        <v/>
      </c>
      <c r="H234" s="24" t="n"/>
    </row>
    <row r="235" ht="15.75" customHeight="1">
      <c r="A235" s="21" t="n"/>
      <c r="B235" s="22">
        <f>IF($A235="","",IFERROR(INDEX(Clienti!$B:$B,MATCH($A235,Clienti!$A:$A,0)),"Codice non trovato"))</f>
        <v/>
      </c>
      <c r="C235" s="21" t="n"/>
      <c r="D235" s="20" t="n"/>
      <c r="E235" s="23" t="n"/>
      <c r="F235" s="26">
        <f>IF(OR($A235="",$D235=""),"",TODAY()-$D235)</f>
        <v/>
      </c>
      <c r="G235" s="26">
        <f>IF($A235="","",IF($E235=0,"Saldato","Aperto"))</f>
        <v/>
      </c>
      <c r="H235" s="24" t="n"/>
    </row>
    <row r="236" ht="15.75" customHeight="1">
      <c r="A236" s="21" t="n"/>
      <c r="B236" s="22">
        <f>IF($A236="","",IFERROR(INDEX(Clienti!$B:$B,MATCH($A236,Clienti!$A:$A,0)),"Codice non trovato"))</f>
        <v/>
      </c>
      <c r="C236" s="21" t="n"/>
      <c r="D236" s="20" t="n"/>
      <c r="E236" s="23" t="n"/>
      <c r="F236" s="26">
        <f>IF(OR($A236="",$D236=""),"",TODAY()-$D236)</f>
        <v/>
      </c>
      <c r="G236" s="26">
        <f>IF($A236="","",IF($E236=0,"Saldato","Aperto"))</f>
        <v/>
      </c>
      <c r="H236" s="24" t="n"/>
    </row>
    <row r="237" ht="15.75" customHeight="1">
      <c r="A237" s="21" t="n"/>
      <c r="B237" s="22">
        <f>IF($A237="","",IFERROR(INDEX(Clienti!$B:$B,MATCH($A237,Clienti!$A:$A,0)),"Codice non trovato"))</f>
        <v/>
      </c>
      <c r="C237" s="21" t="n"/>
      <c r="D237" s="20" t="n"/>
      <c r="E237" s="23" t="n"/>
      <c r="F237" s="26">
        <f>IF(OR($A237="",$D237=""),"",TODAY()-$D237)</f>
        <v/>
      </c>
      <c r="G237" s="26">
        <f>IF($A237="","",IF($E237=0,"Saldato","Aperto"))</f>
        <v/>
      </c>
      <c r="H237" s="24" t="n"/>
    </row>
    <row r="238" ht="15.75" customHeight="1">
      <c r="A238" s="21" t="n"/>
      <c r="B238" s="22">
        <f>IF($A238="","",IFERROR(INDEX(Clienti!$B:$B,MATCH($A238,Clienti!$A:$A,0)),"Codice non trovato"))</f>
        <v/>
      </c>
      <c r="C238" s="21" t="n"/>
      <c r="D238" s="20" t="n"/>
      <c r="E238" s="23" t="n"/>
      <c r="F238" s="26">
        <f>IF(OR($A238="",$D238=""),"",TODAY()-$D238)</f>
        <v/>
      </c>
      <c r="G238" s="26">
        <f>IF($A238="","",IF($E238=0,"Saldato","Aperto"))</f>
        <v/>
      </c>
      <c r="H238" s="24" t="n"/>
    </row>
    <row r="239" ht="15.75" customHeight="1">
      <c r="A239" s="21" t="n"/>
      <c r="B239" s="22">
        <f>IF($A239="","",IFERROR(INDEX(Clienti!$B:$B,MATCH($A239,Clienti!$A:$A,0)),"Codice non trovato"))</f>
        <v/>
      </c>
      <c r="C239" s="21" t="n"/>
      <c r="D239" s="20" t="n"/>
      <c r="E239" s="23" t="n"/>
      <c r="F239" s="26">
        <f>IF(OR($A239="",$D239=""),"",TODAY()-$D239)</f>
        <v/>
      </c>
      <c r="G239" s="26">
        <f>IF($A239="","",IF($E239=0,"Saldato","Aperto"))</f>
        <v/>
      </c>
      <c r="H239" s="24" t="n"/>
    </row>
    <row r="240" ht="15.75" customHeight="1">
      <c r="A240" s="21" t="n"/>
      <c r="B240" s="22">
        <f>IF($A240="","",IFERROR(INDEX(Clienti!$B:$B,MATCH($A240,Clienti!$A:$A,0)),"Codice non trovato"))</f>
        <v/>
      </c>
      <c r="C240" s="21" t="n"/>
      <c r="D240" s="20" t="n"/>
      <c r="E240" s="23" t="n"/>
      <c r="F240" s="26">
        <f>IF(OR($A240="",$D240=""),"",TODAY()-$D240)</f>
        <v/>
      </c>
      <c r="G240" s="26">
        <f>IF($A240="","",IF($E240=0,"Saldato","Aperto"))</f>
        <v/>
      </c>
      <c r="H240" s="24" t="n"/>
    </row>
    <row r="241" ht="15.75" customHeight="1">
      <c r="A241" s="21" t="n"/>
      <c r="B241" s="22">
        <f>IF($A241="","",IFERROR(INDEX(Clienti!$B:$B,MATCH($A241,Clienti!$A:$A,0)),"Codice non trovato"))</f>
        <v/>
      </c>
      <c r="C241" s="21" t="n"/>
      <c r="D241" s="20" t="n"/>
      <c r="E241" s="23" t="n"/>
      <c r="F241" s="26">
        <f>IF(OR($A241="",$D241=""),"",TODAY()-$D241)</f>
        <v/>
      </c>
      <c r="G241" s="26">
        <f>IF($A241="","",IF($E241=0,"Saldato","Aperto"))</f>
        <v/>
      </c>
      <c r="H241" s="24" t="n"/>
    </row>
    <row r="242" ht="15.75" customHeight="1">
      <c r="A242" s="21" t="n"/>
      <c r="B242" s="22">
        <f>IF($A242="","",IFERROR(INDEX(Clienti!$B:$B,MATCH($A242,Clienti!$A:$A,0)),"Codice non trovato"))</f>
        <v/>
      </c>
      <c r="C242" s="21" t="n"/>
      <c r="D242" s="20" t="n"/>
      <c r="E242" s="23" t="n"/>
      <c r="F242" s="26">
        <f>IF(OR($A242="",$D242=""),"",TODAY()-$D242)</f>
        <v/>
      </c>
      <c r="G242" s="26">
        <f>IF($A242="","",IF($E242=0,"Saldato","Aperto"))</f>
        <v/>
      </c>
      <c r="H242" s="24" t="n"/>
    </row>
    <row r="243" ht="15.75" customHeight="1">
      <c r="A243" s="21" t="n"/>
      <c r="B243" s="22">
        <f>IF($A243="","",IFERROR(INDEX(Clienti!$B:$B,MATCH($A243,Clienti!$A:$A,0)),"Codice non trovato"))</f>
        <v/>
      </c>
      <c r="C243" s="21" t="n"/>
      <c r="D243" s="20" t="n"/>
      <c r="E243" s="23" t="n"/>
      <c r="F243" s="26">
        <f>IF(OR($A243="",$D243=""),"",TODAY()-$D243)</f>
        <v/>
      </c>
      <c r="G243" s="26">
        <f>IF($A243="","",IF($E243=0,"Saldato","Aperto"))</f>
        <v/>
      </c>
      <c r="H243" s="24" t="n"/>
    </row>
    <row r="244" ht="15.75" customHeight="1">
      <c r="A244" s="21" t="n"/>
      <c r="B244" s="22">
        <f>IF($A244="","",IFERROR(INDEX(Clienti!$B:$B,MATCH($A244,Clienti!$A:$A,0)),"Codice non trovato"))</f>
        <v/>
      </c>
      <c r="C244" s="21" t="n"/>
      <c r="D244" s="20" t="n"/>
      <c r="E244" s="23" t="n"/>
      <c r="F244" s="26">
        <f>IF(OR($A244="",$D244=""),"",TODAY()-$D244)</f>
        <v/>
      </c>
      <c r="G244" s="26">
        <f>IF($A244="","",IF($E244=0,"Saldato","Aperto"))</f>
        <v/>
      </c>
      <c r="H244" s="24" t="n"/>
    </row>
    <row r="245" ht="15.75" customHeight="1">
      <c r="A245" s="21" t="n"/>
      <c r="B245" s="22">
        <f>IF($A245="","",IFERROR(INDEX(Clienti!$B:$B,MATCH($A245,Clienti!$A:$A,0)),"Codice non trovato"))</f>
        <v/>
      </c>
      <c r="C245" s="21" t="n"/>
      <c r="D245" s="20" t="n"/>
      <c r="E245" s="23" t="n"/>
      <c r="F245" s="26">
        <f>IF(OR($A245="",$D245=""),"",TODAY()-$D245)</f>
        <v/>
      </c>
      <c r="G245" s="26">
        <f>IF($A245="","",IF($E245=0,"Saldato","Aperto"))</f>
        <v/>
      </c>
      <c r="H245" s="24" t="n"/>
    </row>
    <row r="246" ht="15.75" customHeight="1">
      <c r="A246" s="21" t="n"/>
      <c r="B246" s="22">
        <f>IF($A246="","",IFERROR(INDEX(Clienti!$B:$B,MATCH($A246,Clienti!$A:$A,0)),"Codice non trovato"))</f>
        <v/>
      </c>
      <c r="C246" s="21" t="n"/>
      <c r="D246" s="20" t="n"/>
      <c r="E246" s="23" t="n"/>
      <c r="F246" s="26">
        <f>IF(OR($A246="",$D246=""),"",TODAY()-$D246)</f>
        <v/>
      </c>
      <c r="G246" s="26">
        <f>IF($A246="","",IF($E246=0,"Saldato","Aperto"))</f>
        <v/>
      </c>
      <c r="H246" s="24" t="n"/>
    </row>
    <row r="247" ht="15.75" customHeight="1">
      <c r="A247" s="21" t="n"/>
      <c r="B247" s="22">
        <f>IF($A247="","",IFERROR(INDEX(Clienti!$B:$B,MATCH($A247,Clienti!$A:$A,0)),"Codice non trovato"))</f>
        <v/>
      </c>
      <c r="C247" s="21" t="n"/>
      <c r="D247" s="20" t="n"/>
      <c r="E247" s="23" t="n"/>
      <c r="F247" s="26">
        <f>IF(OR($A247="",$D247=""),"",TODAY()-$D247)</f>
        <v/>
      </c>
      <c r="G247" s="26">
        <f>IF($A247="","",IF($E247=0,"Saldato","Aperto"))</f>
        <v/>
      </c>
      <c r="H247" s="24" t="n"/>
    </row>
    <row r="248" ht="15.75" customHeight="1">
      <c r="A248" s="21" t="n"/>
      <c r="B248" s="22">
        <f>IF($A248="","",IFERROR(INDEX(Clienti!$B:$B,MATCH($A248,Clienti!$A:$A,0)),"Codice non trovato"))</f>
        <v/>
      </c>
      <c r="C248" s="21" t="n"/>
      <c r="D248" s="20" t="n"/>
      <c r="E248" s="23" t="n"/>
      <c r="F248" s="26">
        <f>IF(OR($A248="",$D248=""),"",TODAY()-$D248)</f>
        <v/>
      </c>
      <c r="G248" s="26">
        <f>IF($A248="","",IF($E248=0,"Saldato","Aperto"))</f>
        <v/>
      </c>
      <c r="H248" s="24" t="n"/>
    </row>
    <row r="249" ht="15.75" customHeight="1">
      <c r="A249" s="21" t="n"/>
      <c r="B249" s="22">
        <f>IF($A249="","",IFERROR(INDEX(Clienti!$B:$B,MATCH($A249,Clienti!$A:$A,0)),"Codice non trovato"))</f>
        <v/>
      </c>
      <c r="C249" s="21" t="n"/>
      <c r="D249" s="20" t="n"/>
      <c r="E249" s="23" t="n"/>
      <c r="F249" s="26">
        <f>IF(OR($A249="",$D249=""),"",TODAY()-$D249)</f>
        <v/>
      </c>
      <c r="G249" s="26">
        <f>IF($A249="","",IF($E249=0,"Saldato","Aperto"))</f>
        <v/>
      </c>
      <c r="H249" s="24" t="n"/>
    </row>
    <row r="250" ht="15.75" customHeight="1">
      <c r="A250" s="21" t="n"/>
      <c r="B250" s="22">
        <f>IF($A250="","",IFERROR(INDEX(Clienti!$B:$B,MATCH($A250,Clienti!$A:$A,0)),"Codice non trovato"))</f>
        <v/>
      </c>
      <c r="C250" s="21" t="n"/>
      <c r="D250" s="20" t="n"/>
      <c r="E250" s="23" t="n"/>
      <c r="F250" s="26">
        <f>IF(OR($A250="",$D250=""),"",TODAY()-$D250)</f>
        <v/>
      </c>
      <c r="G250" s="26">
        <f>IF($A250="","",IF($E250=0,"Saldato","Aperto"))</f>
        <v/>
      </c>
      <c r="H250" s="24" t="n"/>
    </row>
    <row r="251" ht="15.75" customHeight="1">
      <c r="A251" s="21" t="n"/>
      <c r="B251" s="22">
        <f>IF($A251="","",IFERROR(INDEX(Clienti!$B:$B,MATCH($A251,Clienti!$A:$A,0)),"Codice non trovato"))</f>
        <v/>
      </c>
      <c r="C251" s="21" t="n"/>
      <c r="D251" s="20" t="n"/>
      <c r="E251" s="23" t="n"/>
      <c r="F251" s="26">
        <f>IF(OR($A251="",$D251=""),"",TODAY()-$D251)</f>
        <v/>
      </c>
      <c r="G251" s="26">
        <f>IF($A251="","",IF($E251=0,"Saldato","Aperto"))</f>
        <v/>
      </c>
      <c r="H251" s="24" t="n"/>
    </row>
    <row r="252" ht="15.75" customHeight="1">
      <c r="A252" s="21" t="n"/>
      <c r="B252" s="22">
        <f>IF($A252="","",IFERROR(INDEX(Clienti!$B:$B,MATCH($A252,Clienti!$A:$A,0)),"Codice non trovato"))</f>
        <v/>
      </c>
      <c r="C252" s="21" t="n"/>
      <c r="D252" s="20" t="n"/>
      <c r="E252" s="23" t="n"/>
      <c r="F252" s="26">
        <f>IF(OR($A252="",$D252=""),"",TODAY()-$D252)</f>
        <v/>
      </c>
      <c r="G252" s="26">
        <f>IF($A252="","",IF($E252=0,"Saldato","Aperto"))</f>
        <v/>
      </c>
      <c r="H252" s="24" t="n"/>
    </row>
    <row r="253" ht="15.75" customHeight="1">
      <c r="A253" s="21" t="n"/>
      <c r="B253" s="22">
        <f>IF($A253="","",IFERROR(INDEX(Clienti!$B:$B,MATCH($A253,Clienti!$A:$A,0)),"Codice non trovato"))</f>
        <v/>
      </c>
      <c r="C253" s="21" t="n"/>
      <c r="D253" s="20" t="n"/>
      <c r="E253" s="23" t="n"/>
      <c r="F253" s="26">
        <f>IF(OR($A253="",$D253=""),"",TODAY()-$D253)</f>
        <v/>
      </c>
      <c r="G253" s="26">
        <f>IF($A253="","",IF($E253=0,"Saldato","Aperto"))</f>
        <v/>
      </c>
      <c r="H253" s="24" t="n"/>
    </row>
    <row r="254" ht="15.75" customHeight="1">
      <c r="A254" s="21" t="n"/>
      <c r="B254" s="22">
        <f>IF($A254="","",IFERROR(INDEX(Clienti!$B:$B,MATCH($A254,Clienti!$A:$A,0)),"Codice non trovato"))</f>
        <v/>
      </c>
      <c r="C254" s="21" t="n"/>
      <c r="D254" s="20" t="n"/>
      <c r="E254" s="23" t="n"/>
      <c r="F254" s="26">
        <f>IF(OR($A254="",$D254=""),"",TODAY()-$D254)</f>
        <v/>
      </c>
      <c r="G254" s="26">
        <f>IF($A254="","",IF($E254=0,"Saldato","Aperto"))</f>
        <v/>
      </c>
      <c r="H254" s="24" t="n"/>
    </row>
    <row r="255" ht="15.75" customHeight="1">
      <c r="A255" s="21" t="n"/>
      <c r="B255" s="22">
        <f>IF($A255="","",IFERROR(INDEX(Clienti!$B:$B,MATCH($A255,Clienti!$A:$A,0)),"Codice non trovato"))</f>
        <v/>
      </c>
      <c r="C255" s="21" t="n"/>
      <c r="D255" s="20" t="n"/>
      <c r="E255" s="23" t="n"/>
      <c r="F255" s="26">
        <f>IF(OR($A255="",$D255=""),"",TODAY()-$D255)</f>
        <v/>
      </c>
      <c r="G255" s="26">
        <f>IF($A255="","",IF($E255=0,"Saldato","Aperto"))</f>
        <v/>
      </c>
      <c r="H255" s="24" t="n"/>
    </row>
    <row r="256" ht="15.75" customHeight="1">
      <c r="A256" s="21" t="n"/>
      <c r="B256" s="22">
        <f>IF($A256="","",IFERROR(INDEX(Clienti!$B:$B,MATCH($A256,Clienti!$A:$A,0)),"Codice non trovato"))</f>
        <v/>
      </c>
      <c r="C256" s="21" t="n"/>
      <c r="D256" s="20" t="n"/>
      <c r="E256" s="23" t="n"/>
      <c r="F256" s="26">
        <f>IF(OR($A256="",$D256=""),"",TODAY()-$D256)</f>
        <v/>
      </c>
      <c r="G256" s="26">
        <f>IF($A256="","",IF($E256=0,"Saldato","Aperto"))</f>
        <v/>
      </c>
      <c r="H256" s="24" t="n"/>
    </row>
    <row r="257" ht="15.75" customHeight="1">
      <c r="A257" s="21" t="n"/>
      <c r="B257" s="22">
        <f>IF($A257="","",IFERROR(INDEX(Clienti!$B:$B,MATCH($A257,Clienti!$A:$A,0)),"Codice non trovato"))</f>
        <v/>
      </c>
      <c r="C257" s="21" t="n"/>
      <c r="D257" s="20" t="n"/>
      <c r="E257" s="23" t="n"/>
      <c r="F257" s="26">
        <f>IF(OR($A257="",$D257=""),"",TODAY()-$D257)</f>
        <v/>
      </c>
      <c r="G257" s="26">
        <f>IF($A257="","",IF($E257=0,"Saldato","Aperto"))</f>
        <v/>
      </c>
      <c r="H257" s="24" t="n"/>
    </row>
    <row r="258" ht="15.75" customHeight="1">
      <c r="A258" s="21" t="n"/>
      <c r="B258" s="22">
        <f>IF($A258="","",IFERROR(INDEX(Clienti!$B:$B,MATCH($A258,Clienti!$A:$A,0)),"Codice non trovato"))</f>
        <v/>
      </c>
      <c r="C258" s="21" t="n"/>
      <c r="D258" s="20" t="n"/>
      <c r="E258" s="23" t="n"/>
      <c r="F258" s="26">
        <f>IF(OR($A258="",$D258=""),"",TODAY()-$D258)</f>
        <v/>
      </c>
      <c r="G258" s="26">
        <f>IF($A258="","",IF($E258=0,"Saldato","Aperto"))</f>
        <v/>
      </c>
      <c r="H258" s="24" t="n"/>
    </row>
    <row r="259" ht="15.75" customHeight="1">
      <c r="A259" s="21" t="n"/>
      <c r="B259" s="22">
        <f>IF($A259="","",IFERROR(INDEX(Clienti!$B:$B,MATCH($A259,Clienti!$A:$A,0)),"Codice non trovato"))</f>
        <v/>
      </c>
      <c r="C259" s="21" t="n"/>
      <c r="D259" s="20" t="n"/>
      <c r="E259" s="23" t="n"/>
      <c r="F259" s="26">
        <f>IF(OR($A259="",$D259=""),"",TODAY()-$D259)</f>
        <v/>
      </c>
      <c r="G259" s="26">
        <f>IF($A259="","",IF($E259=0,"Saldato","Aperto"))</f>
        <v/>
      </c>
      <c r="H259" s="24" t="n"/>
    </row>
    <row r="260" ht="15.75" customHeight="1">
      <c r="A260" s="21" t="n"/>
      <c r="B260" s="22">
        <f>IF($A260="","",IFERROR(INDEX(Clienti!$B:$B,MATCH($A260,Clienti!$A:$A,0)),"Codice non trovato"))</f>
        <v/>
      </c>
      <c r="C260" s="21" t="n"/>
      <c r="D260" s="20" t="n"/>
      <c r="E260" s="23" t="n"/>
      <c r="F260" s="26">
        <f>IF(OR($A260="",$D260=""),"",TODAY()-$D260)</f>
        <v/>
      </c>
      <c r="G260" s="26">
        <f>IF($A260="","",IF($E260=0,"Saldato","Aperto"))</f>
        <v/>
      </c>
      <c r="H260" s="24" t="n"/>
    </row>
    <row r="261" ht="15.75" customHeight="1">
      <c r="A261" s="21" t="n"/>
      <c r="B261" s="22">
        <f>IF($A261="","",IFERROR(INDEX(Clienti!$B:$B,MATCH($A261,Clienti!$A:$A,0)),"Codice non trovato"))</f>
        <v/>
      </c>
      <c r="C261" s="21" t="n"/>
      <c r="D261" s="20" t="n"/>
      <c r="E261" s="23" t="n"/>
      <c r="F261" s="26">
        <f>IF(OR($A261="",$D261=""),"",TODAY()-$D261)</f>
        <v/>
      </c>
      <c r="G261" s="26">
        <f>IF($A261="","",IF($E261=0,"Saldato","Aperto"))</f>
        <v/>
      </c>
      <c r="H261" s="24" t="n"/>
    </row>
    <row r="262" ht="15.75" customHeight="1">
      <c r="A262" s="21" t="n"/>
      <c r="B262" s="22">
        <f>IF($A262="","",IFERROR(INDEX(Clienti!$B:$B,MATCH($A262,Clienti!$A:$A,0)),"Codice non trovato"))</f>
        <v/>
      </c>
      <c r="C262" s="21" t="n"/>
      <c r="D262" s="20" t="n"/>
      <c r="E262" s="23" t="n"/>
      <c r="F262" s="26">
        <f>IF(OR($A262="",$D262=""),"",TODAY()-$D262)</f>
        <v/>
      </c>
      <c r="G262" s="26">
        <f>IF($A262="","",IF($E262=0,"Saldato","Aperto"))</f>
        <v/>
      </c>
      <c r="H262" s="24" t="n"/>
    </row>
    <row r="263" ht="15.75" customHeight="1">
      <c r="A263" s="21" t="n"/>
      <c r="B263" s="22">
        <f>IF($A263="","",IFERROR(INDEX(Clienti!$B:$B,MATCH($A263,Clienti!$A:$A,0)),"Codice non trovato"))</f>
        <v/>
      </c>
      <c r="C263" s="21" t="n"/>
      <c r="D263" s="20" t="n"/>
      <c r="E263" s="23" t="n"/>
      <c r="F263" s="26">
        <f>IF(OR($A263="",$D263=""),"",TODAY()-$D263)</f>
        <v/>
      </c>
      <c r="G263" s="26">
        <f>IF($A263="","",IF($E263=0,"Saldato","Aperto"))</f>
        <v/>
      </c>
      <c r="H263" s="24" t="n"/>
    </row>
    <row r="264" ht="15.75" customHeight="1">
      <c r="A264" s="21" t="n"/>
      <c r="B264" s="22">
        <f>IF($A264="","",IFERROR(INDEX(Clienti!$B:$B,MATCH($A264,Clienti!$A:$A,0)),"Codice non trovato"))</f>
        <v/>
      </c>
      <c r="C264" s="21" t="n"/>
      <c r="D264" s="20" t="n"/>
      <c r="E264" s="23" t="n"/>
      <c r="F264" s="26">
        <f>IF(OR($A264="",$D264=""),"",TODAY()-$D264)</f>
        <v/>
      </c>
      <c r="G264" s="26">
        <f>IF($A264="","",IF($E264=0,"Saldato","Aperto"))</f>
        <v/>
      </c>
      <c r="H264" s="24" t="n"/>
    </row>
    <row r="265" ht="15.75" customHeight="1">
      <c r="A265" s="21" t="n"/>
      <c r="B265" s="22">
        <f>IF($A265="","",IFERROR(INDEX(Clienti!$B:$B,MATCH($A265,Clienti!$A:$A,0)),"Codice non trovato"))</f>
        <v/>
      </c>
      <c r="C265" s="21" t="n"/>
      <c r="D265" s="20" t="n"/>
      <c r="E265" s="23" t="n"/>
      <c r="F265" s="26">
        <f>IF(OR($A265="",$D265=""),"",TODAY()-$D265)</f>
        <v/>
      </c>
      <c r="G265" s="26">
        <f>IF($A265="","",IF($E265=0,"Saldato","Aperto"))</f>
        <v/>
      </c>
      <c r="H265" s="24" t="n"/>
    </row>
    <row r="266" ht="15.75" customHeight="1">
      <c r="A266" s="21" t="n"/>
      <c r="B266" s="22">
        <f>IF($A266="","",IFERROR(INDEX(Clienti!$B:$B,MATCH($A266,Clienti!$A:$A,0)),"Codice non trovato"))</f>
        <v/>
      </c>
      <c r="C266" s="21" t="n"/>
      <c r="D266" s="20" t="n"/>
      <c r="E266" s="23" t="n"/>
      <c r="F266" s="26">
        <f>IF(OR($A266="",$D266=""),"",TODAY()-$D266)</f>
        <v/>
      </c>
      <c r="G266" s="26">
        <f>IF($A266="","",IF($E266=0,"Saldato","Aperto"))</f>
        <v/>
      </c>
      <c r="H266" s="24" t="n"/>
    </row>
    <row r="267" ht="15.75" customHeight="1">
      <c r="A267" s="21" t="n"/>
      <c r="B267" s="22">
        <f>IF($A267="","",IFERROR(INDEX(Clienti!$B:$B,MATCH($A267,Clienti!$A:$A,0)),"Codice non trovato"))</f>
        <v/>
      </c>
      <c r="C267" s="21" t="n"/>
      <c r="D267" s="20" t="n"/>
      <c r="E267" s="23" t="n"/>
      <c r="F267" s="26">
        <f>IF(OR($A267="",$D267=""),"",TODAY()-$D267)</f>
        <v/>
      </c>
      <c r="G267" s="26">
        <f>IF($A267="","",IF($E267=0,"Saldato","Aperto"))</f>
        <v/>
      </c>
      <c r="H267" s="24" t="n"/>
    </row>
    <row r="268" ht="15.75" customHeight="1">
      <c r="A268" s="21" t="n"/>
      <c r="B268" s="22">
        <f>IF($A268="","",IFERROR(INDEX(Clienti!$B:$B,MATCH($A268,Clienti!$A:$A,0)),"Codice non trovato"))</f>
        <v/>
      </c>
      <c r="C268" s="21" t="n"/>
      <c r="D268" s="20" t="n"/>
      <c r="E268" s="23" t="n"/>
      <c r="F268" s="26">
        <f>IF(OR($A268="",$D268=""),"",TODAY()-$D268)</f>
        <v/>
      </c>
      <c r="G268" s="26">
        <f>IF($A268="","",IF($E268=0,"Saldato","Aperto"))</f>
        <v/>
      </c>
      <c r="H268" s="24" t="n"/>
    </row>
    <row r="269" ht="15.75" customHeight="1">
      <c r="A269" s="21" t="n"/>
      <c r="B269" s="22">
        <f>IF($A269="","",IFERROR(INDEX(Clienti!$B:$B,MATCH($A269,Clienti!$A:$A,0)),"Codice non trovato"))</f>
        <v/>
      </c>
      <c r="C269" s="21" t="n"/>
      <c r="D269" s="20" t="n"/>
      <c r="E269" s="23" t="n"/>
      <c r="F269" s="26">
        <f>IF(OR($A269="",$D269=""),"",TODAY()-$D269)</f>
        <v/>
      </c>
      <c r="G269" s="26">
        <f>IF($A269="","",IF($E269=0,"Saldato","Aperto"))</f>
        <v/>
      </c>
      <c r="H269" s="24" t="n"/>
    </row>
    <row r="270" ht="15.75" customHeight="1">
      <c r="A270" s="21" t="n"/>
      <c r="B270" s="22">
        <f>IF($A270="","",IFERROR(INDEX(Clienti!$B:$B,MATCH($A270,Clienti!$A:$A,0)),"Codice non trovato"))</f>
        <v/>
      </c>
      <c r="C270" s="21" t="n"/>
      <c r="D270" s="20" t="n"/>
      <c r="E270" s="23" t="n"/>
      <c r="F270" s="26">
        <f>IF(OR($A270="",$D270=""),"",TODAY()-$D270)</f>
        <v/>
      </c>
      <c r="G270" s="26">
        <f>IF($A270="","",IF($E270=0,"Saldato","Aperto"))</f>
        <v/>
      </c>
      <c r="H270" s="24" t="n"/>
    </row>
    <row r="271" ht="15.75" customHeight="1">
      <c r="A271" s="21" t="n"/>
      <c r="B271" s="22">
        <f>IF($A271="","",IFERROR(INDEX(Clienti!$B:$B,MATCH($A271,Clienti!$A:$A,0)),"Codice non trovato"))</f>
        <v/>
      </c>
      <c r="C271" s="21" t="n"/>
      <c r="D271" s="20" t="n"/>
      <c r="E271" s="23" t="n"/>
      <c r="F271" s="26">
        <f>IF(OR($A271="",$D271=""),"",TODAY()-$D271)</f>
        <v/>
      </c>
      <c r="G271" s="26">
        <f>IF($A271="","",IF($E271=0,"Saldato","Aperto"))</f>
        <v/>
      </c>
      <c r="H271" s="24" t="n"/>
    </row>
    <row r="272" ht="15.75" customHeight="1">
      <c r="A272" s="21" t="n"/>
      <c r="B272" s="22">
        <f>IF($A272="","",IFERROR(INDEX(Clienti!$B:$B,MATCH($A272,Clienti!$A:$A,0)),"Codice non trovato"))</f>
        <v/>
      </c>
      <c r="C272" s="21" t="n"/>
      <c r="D272" s="20" t="n"/>
      <c r="E272" s="23" t="n"/>
      <c r="F272" s="26">
        <f>IF(OR($A272="",$D272=""),"",TODAY()-$D272)</f>
        <v/>
      </c>
      <c r="G272" s="26">
        <f>IF($A272="","",IF($E272=0,"Saldato","Aperto"))</f>
        <v/>
      </c>
      <c r="H272" s="24" t="n"/>
    </row>
    <row r="273" ht="15.75" customHeight="1">
      <c r="A273" s="21" t="n"/>
      <c r="B273" s="22">
        <f>IF($A273="","",IFERROR(INDEX(Clienti!$B:$B,MATCH($A273,Clienti!$A:$A,0)),"Codice non trovato"))</f>
        <v/>
      </c>
      <c r="C273" s="21" t="n"/>
      <c r="D273" s="20" t="n"/>
      <c r="E273" s="23" t="n"/>
      <c r="F273" s="26">
        <f>IF(OR($A273="",$D273=""),"",TODAY()-$D273)</f>
        <v/>
      </c>
      <c r="G273" s="26">
        <f>IF($A273="","",IF($E273=0,"Saldato","Aperto"))</f>
        <v/>
      </c>
      <c r="H273" s="24" t="n"/>
    </row>
    <row r="274" ht="15.75" customHeight="1">
      <c r="A274" s="21" t="n"/>
      <c r="B274" s="22">
        <f>IF($A274="","",IFERROR(INDEX(Clienti!$B:$B,MATCH($A274,Clienti!$A:$A,0)),"Codice non trovato"))</f>
        <v/>
      </c>
      <c r="C274" s="21" t="n"/>
      <c r="D274" s="20" t="n"/>
      <c r="E274" s="23" t="n"/>
      <c r="F274" s="26">
        <f>IF(OR($A274="",$D274=""),"",TODAY()-$D274)</f>
        <v/>
      </c>
      <c r="G274" s="26">
        <f>IF($A274="","",IF($E274=0,"Saldato","Aperto"))</f>
        <v/>
      </c>
      <c r="H274" s="24" t="n"/>
    </row>
    <row r="275" ht="15.75" customHeight="1">
      <c r="A275" s="21" t="n"/>
      <c r="B275" s="22">
        <f>IF($A275="","",IFERROR(INDEX(Clienti!$B:$B,MATCH($A275,Clienti!$A:$A,0)),"Codice non trovato"))</f>
        <v/>
      </c>
      <c r="C275" s="21" t="n"/>
      <c r="D275" s="20" t="n"/>
      <c r="E275" s="23" t="n"/>
      <c r="F275" s="26">
        <f>IF(OR($A275="",$D275=""),"",TODAY()-$D275)</f>
        <v/>
      </c>
      <c r="G275" s="26">
        <f>IF($A275="","",IF($E275=0,"Saldato","Aperto"))</f>
        <v/>
      </c>
      <c r="H275" s="24" t="n"/>
    </row>
    <row r="276" ht="15.75" customHeight="1">
      <c r="A276" s="21" t="n"/>
      <c r="B276" s="22">
        <f>IF($A276="","",IFERROR(INDEX(Clienti!$B:$B,MATCH($A276,Clienti!$A:$A,0)),"Codice non trovato"))</f>
        <v/>
      </c>
      <c r="C276" s="21" t="n"/>
      <c r="D276" s="20" t="n"/>
      <c r="E276" s="23" t="n"/>
      <c r="F276" s="26">
        <f>IF(OR($A276="",$D276=""),"",TODAY()-$D276)</f>
        <v/>
      </c>
      <c r="G276" s="26">
        <f>IF($A276="","",IF($E276=0,"Saldato","Aperto"))</f>
        <v/>
      </c>
      <c r="H276" s="24" t="n"/>
    </row>
    <row r="277" ht="15.75" customHeight="1">
      <c r="A277" s="21" t="n"/>
      <c r="B277" s="22">
        <f>IF($A277="","",IFERROR(INDEX(Clienti!$B:$B,MATCH($A277,Clienti!$A:$A,0)),"Codice non trovato"))</f>
        <v/>
      </c>
      <c r="C277" s="21" t="n"/>
      <c r="D277" s="20" t="n"/>
      <c r="E277" s="23" t="n"/>
      <c r="F277" s="26">
        <f>IF(OR($A277="",$D277=""),"",TODAY()-$D277)</f>
        <v/>
      </c>
      <c r="G277" s="26">
        <f>IF($A277="","",IF($E277=0,"Saldato","Aperto"))</f>
        <v/>
      </c>
      <c r="H277" s="24" t="n"/>
    </row>
    <row r="278" ht="15.75" customHeight="1">
      <c r="A278" s="21" t="n"/>
      <c r="B278" s="22">
        <f>IF($A278="","",IFERROR(INDEX(Clienti!$B:$B,MATCH($A278,Clienti!$A:$A,0)),"Codice non trovato"))</f>
        <v/>
      </c>
      <c r="C278" s="21" t="n"/>
      <c r="D278" s="20" t="n"/>
      <c r="E278" s="23" t="n"/>
      <c r="F278" s="26">
        <f>IF(OR($A278="",$D278=""),"",TODAY()-$D278)</f>
        <v/>
      </c>
      <c r="G278" s="26">
        <f>IF($A278="","",IF($E278=0,"Saldato","Aperto"))</f>
        <v/>
      </c>
      <c r="H278" s="24" t="n"/>
    </row>
    <row r="279" ht="15.75" customHeight="1">
      <c r="A279" s="21" t="n"/>
      <c r="B279" s="22">
        <f>IF($A279="","",IFERROR(INDEX(Clienti!$B:$B,MATCH($A279,Clienti!$A:$A,0)),"Codice non trovato"))</f>
        <v/>
      </c>
      <c r="C279" s="21" t="n"/>
      <c r="D279" s="20" t="n"/>
      <c r="E279" s="23" t="n"/>
      <c r="F279" s="26">
        <f>IF(OR($A279="",$D279=""),"",TODAY()-$D279)</f>
        <v/>
      </c>
      <c r="G279" s="26">
        <f>IF($A279="","",IF($E279=0,"Saldato","Aperto"))</f>
        <v/>
      </c>
      <c r="H279" s="24" t="n"/>
    </row>
    <row r="280" ht="15.75" customHeight="1">
      <c r="A280" s="21" t="n"/>
      <c r="B280" s="22">
        <f>IF($A280="","",IFERROR(INDEX(Clienti!$B:$B,MATCH($A280,Clienti!$A:$A,0)),"Codice non trovato"))</f>
        <v/>
      </c>
      <c r="C280" s="21" t="n"/>
      <c r="D280" s="20" t="n"/>
      <c r="E280" s="23" t="n"/>
      <c r="F280" s="26">
        <f>IF(OR($A280="",$D280=""),"",TODAY()-$D280)</f>
        <v/>
      </c>
      <c r="G280" s="26">
        <f>IF($A280="","",IF($E280=0,"Saldato","Aperto"))</f>
        <v/>
      </c>
      <c r="H280" s="24" t="n"/>
    </row>
    <row r="281" ht="15.75" customHeight="1">
      <c r="A281" s="21" t="n"/>
      <c r="B281" s="22">
        <f>IF($A281="","",IFERROR(INDEX(Clienti!$B:$B,MATCH($A281,Clienti!$A:$A,0)),"Codice non trovato"))</f>
        <v/>
      </c>
      <c r="C281" s="21" t="n"/>
      <c r="D281" s="20" t="n"/>
      <c r="E281" s="23" t="n"/>
      <c r="F281" s="26">
        <f>IF(OR($A281="",$D281=""),"",TODAY()-$D281)</f>
        <v/>
      </c>
      <c r="G281" s="26">
        <f>IF($A281="","",IF($E281=0,"Saldato","Aperto"))</f>
        <v/>
      </c>
      <c r="H281" s="24" t="n"/>
    </row>
    <row r="282" ht="15.75" customHeight="1">
      <c r="A282" s="21" t="n"/>
      <c r="B282" s="22">
        <f>IF($A282="","",IFERROR(INDEX(Clienti!$B:$B,MATCH($A282,Clienti!$A:$A,0)),"Codice non trovato"))</f>
        <v/>
      </c>
      <c r="C282" s="21" t="n"/>
      <c r="D282" s="20" t="n"/>
      <c r="E282" s="23" t="n"/>
      <c r="F282" s="26">
        <f>IF(OR($A282="",$D282=""),"",TODAY()-$D282)</f>
        <v/>
      </c>
      <c r="G282" s="26">
        <f>IF($A282="","",IF($E282=0,"Saldato","Aperto"))</f>
        <v/>
      </c>
      <c r="H282" s="24" t="n"/>
    </row>
    <row r="283" ht="15.75" customHeight="1">
      <c r="A283" s="21" t="n"/>
      <c r="B283" s="22">
        <f>IF($A283="","",IFERROR(INDEX(Clienti!$B:$B,MATCH($A283,Clienti!$A:$A,0)),"Codice non trovato"))</f>
        <v/>
      </c>
      <c r="C283" s="21" t="n"/>
      <c r="D283" s="20" t="n"/>
      <c r="E283" s="23" t="n"/>
      <c r="F283" s="26">
        <f>IF(OR($A283="",$D283=""),"",TODAY()-$D283)</f>
        <v/>
      </c>
      <c r="G283" s="26">
        <f>IF($A283="","",IF($E283=0,"Saldato","Aperto"))</f>
        <v/>
      </c>
      <c r="H283" s="24" t="n"/>
    </row>
    <row r="284" ht="15.75" customHeight="1">
      <c r="A284" s="21" t="n"/>
      <c r="B284" s="22">
        <f>IF($A284="","",IFERROR(INDEX(Clienti!$B:$B,MATCH($A284,Clienti!$A:$A,0)),"Codice non trovato"))</f>
        <v/>
      </c>
      <c r="C284" s="21" t="n"/>
      <c r="D284" s="20" t="n"/>
      <c r="E284" s="23" t="n"/>
      <c r="F284" s="26">
        <f>IF(OR($A284="",$D284=""),"",TODAY()-$D284)</f>
        <v/>
      </c>
      <c r="G284" s="26">
        <f>IF($A284="","",IF($E284=0,"Saldato","Aperto"))</f>
        <v/>
      </c>
      <c r="H284" s="24" t="n"/>
    </row>
    <row r="285" ht="15.75" customHeight="1">
      <c r="A285" s="21" t="n"/>
      <c r="B285" s="22">
        <f>IF($A285="","",IFERROR(INDEX(Clienti!$B:$B,MATCH($A285,Clienti!$A:$A,0)),"Codice non trovato"))</f>
        <v/>
      </c>
      <c r="C285" s="21" t="n"/>
      <c r="D285" s="20" t="n"/>
      <c r="E285" s="23" t="n"/>
      <c r="F285" s="26">
        <f>IF(OR($A285="",$D285=""),"",TODAY()-$D285)</f>
        <v/>
      </c>
      <c r="G285" s="26">
        <f>IF($A285="","",IF($E285=0,"Saldato","Aperto"))</f>
        <v/>
      </c>
      <c r="H285" s="24" t="n"/>
    </row>
    <row r="286" ht="15.75" customHeight="1">
      <c r="A286" s="21" t="n"/>
      <c r="B286" s="22">
        <f>IF($A286="","",IFERROR(INDEX(Clienti!$B:$B,MATCH($A286,Clienti!$A:$A,0)),"Codice non trovato"))</f>
        <v/>
      </c>
      <c r="C286" s="21" t="n"/>
      <c r="D286" s="20" t="n"/>
      <c r="E286" s="23" t="n"/>
      <c r="F286" s="26">
        <f>IF(OR($A286="",$D286=""),"",TODAY()-$D286)</f>
        <v/>
      </c>
      <c r="G286" s="26">
        <f>IF($A286="","",IF($E286=0,"Saldato","Aperto"))</f>
        <v/>
      </c>
      <c r="H286" s="24" t="n"/>
    </row>
    <row r="287" ht="15.75" customHeight="1">
      <c r="A287" s="21" t="n"/>
      <c r="B287" s="22">
        <f>IF($A287="","",IFERROR(INDEX(Clienti!$B:$B,MATCH($A287,Clienti!$A:$A,0)),"Codice non trovato"))</f>
        <v/>
      </c>
      <c r="C287" s="21" t="n"/>
      <c r="D287" s="20" t="n"/>
      <c r="E287" s="23" t="n"/>
      <c r="F287" s="26">
        <f>IF(OR($A287="",$D287=""),"",TODAY()-$D287)</f>
        <v/>
      </c>
      <c r="G287" s="26">
        <f>IF($A287="","",IF($E287=0,"Saldato","Aperto"))</f>
        <v/>
      </c>
      <c r="H287" s="24" t="n"/>
    </row>
    <row r="288" ht="15.75" customHeight="1">
      <c r="A288" s="21" t="n"/>
      <c r="B288" s="22">
        <f>IF($A288="","",IFERROR(INDEX(Clienti!$B:$B,MATCH($A288,Clienti!$A:$A,0)),"Codice non trovato"))</f>
        <v/>
      </c>
      <c r="C288" s="21" t="n"/>
      <c r="D288" s="20" t="n"/>
      <c r="E288" s="23" t="n"/>
      <c r="F288" s="26">
        <f>IF(OR($A288="",$D288=""),"",TODAY()-$D288)</f>
        <v/>
      </c>
      <c r="G288" s="26">
        <f>IF($A288="","",IF($E288=0,"Saldato","Aperto"))</f>
        <v/>
      </c>
      <c r="H288" s="24" t="n"/>
    </row>
    <row r="289" ht="15.75" customHeight="1">
      <c r="A289" s="21" t="n"/>
      <c r="B289" s="22">
        <f>IF($A289="","",IFERROR(INDEX(Clienti!$B:$B,MATCH($A289,Clienti!$A:$A,0)),"Codice non trovato"))</f>
        <v/>
      </c>
      <c r="C289" s="21" t="n"/>
      <c r="D289" s="20" t="n"/>
      <c r="E289" s="23" t="n"/>
      <c r="F289" s="26">
        <f>IF(OR($A289="",$D289=""),"",TODAY()-$D289)</f>
        <v/>
      </c>
      <c r="G289" s="26">
        <f>IF($A289="","",IF($E289=0,"Saldato","Aperto"))</f>
        <v/>
      </c>
      <c r="H289" s="24" t="n"/>
    </row>
    <row r="290" ht="15.75" customHeight="1">
      <c r="A290" s="21" t="n"/>
      <c r="B290" s="22">
        <f>IF($A290="","",IFERROR(INDEX(Clienti!$B:$B,MATCH($A290,Clienti!$A:$A,0)),"Codice non trovato"))</f>
        <v/>
      </c>
      <c r="C290" s="21" t="n"/>
      <c r="D290" s="20" t="n"/>
      <c r="E290" s="23" t="n"/>
      <c r="F290" s="26">
        <f>IF(OR($A290="",$D290=""),"",TODAY()-$D290)</f>
        <v/>
      </c>
      <c r="G290" s="26">
        <f>IF($A290="","",IF($E290=0,"Saldato","Aperto"))</f>
        <v/>
      </c>
      <c r="H290" s="24" t="n"/>
    </row>
    <row r="291" ht="15.75" customHeight="1">
      <c r="A291" s="21" t="n"/>
      <c r="B291" s="22">
        <f>IF($A291="","",IFERROR(INDEX(Clienti!$B:$B,MATCH($A291,Clienti!$A:$A,0)),"Codice non trovato"))</f>
        <v/>
      </c>
      <c r="C291" s="21" t="n"/>
      <c r="D291" s="20" t="n"/>
      <c r="E291" s="23" t="n"/>
      <c r="F291" s="26">
        <f>IF(OR($A291="",$D291=""),"",TODAY()-$D291)</f>
        <v/>
      </c>
      <c r="G291" s="26">
        <f>IF($A291="","",IF($E291=0,"Saldato","Aperto"))</f>
        <v/>
      </c>
      <c r="H291" s="24" t="n"/>
    </row>
    <row r="292" ht="15.75" customHeight="1">
      <c r="A292" s="21" t="n"/>
      <c r="B292" s="22">
        <f>IF($A292="","",IFERROR(INDEX(Clienti!$B:$B,MATCH($A292,Clienti!$A:$A,0)),"Codice non trovato"))</f>
        <v/>
      </c>
      <c r="C292" s="21" t="n"/>
      <c r="D292" s="20" t="n"/>
      <c r="E292" s="23" t="n"/>
      <c r="F292" s="26">
        <f>IF(OR($A292="",$D292=""),"",TODAY()-$D292)</f>
        <v/>
      </c>
      <c r="G292" s="26">
        <f>IF($A292="","",IF($E292=0,"Saldato","Aperto"))</f>
        <v/>
      </c>
      <c r="H292" s="24" t="n"/>
    </row>
    <row r="293" ht="15.75" customHeight="1">
      <c r="A293" s="21" t="n"/>
      <c r="B293" s="22">
        <f>IF($A293="","",IFERROR(INDEX(Clienti!$B:$B,MATCH($A293,Clienti!$A:$A,0)),"Codice non trovato"))</f>
        <v/>
      </c>
      <c r="C293" s="21" t="n"/>
      <c r="D293" s="20" t="n"/>
      <c r="E293" s="23" t="n"/>
      <c r="F293" s="26">
        <f>IF(OR($A293="",$D293=""),"",TODAY()-$D293)</f>
        <v/>
      </c>
      <c r="G293" s="26">
        <f>IF($A293="","",IF($E293=0,"Saldato","Aperto"))</f>
        <v/>
      </c>
      <c r="H293" s="24" t="n"/>
    </row>
    <row r="294" ht="15.75" customHeight="1">
      <c r="A294" s="21" t="n"/>
      <c r="B294" s="22">
        <f>IF($A294="","",IFERROR(INDEX(Clienti!$B:$B,MATCH($A294,Clienti!$A:$A,0)),"Codice non trovato"))</f>
        <v/>
      </c>
      <c r="C294" s="21" t="n"/>
      <c r="D294" s="20" t="n"/>
      <c r="E294" s="23" t="n"/>
      <c r="F294" s="26">
        <f>IF(OR($A294="",$D294=""),"",TODAY()-$D294)</f>
        <v/>
      </c>
      <c r="G294" s="26">
        <f>IF($A294="","",IF($E294=0,"Saldato","Aperto"))</f>
        <v/>
      </c>
      <c r="H294" s="24" t="n"/>
    </row>
    <row r="295" ht="15.75" customHeight="1">
      <c r="A295" s="21" t="n"/>
      <c r="B295" s="22">
        <f>IF($A295="","",IFERROR(INDEX(Clienti!$B:$B,MATCH($A295,Clienti!$A:$A,0)),"Codice non trovato"))</f>
        <v/>
      </c>
      <c r="C295" s="21" t="n"/>
      <c r="D295" s="20" t="n"/>
      <c r="E295" s="23" t="n"/>
      <c r="F295" s="26">
        <f>IF(OR($A295="",$D295=""),"",TODAY()-$D295)</f>
        <v/>
      </c>
      <c r="G295" s="26">
        <f>IF($A295="","",IF($E295=0,"Saldato","Aperto"))</f>
        <v/>
      </c>
      <c r="H295" s="24" t="n"/>
    </row>
    <row r="296" ht="15.75" customHeight="1">
      <c r="A296" s="21" t="n"/>
      <c r="B296" s="22">
        <f>IF($A296="","",IFERROR(INDEX(Clienti!$B:$B,MATCH($A296,Clienti!$A:$A,0)),"Codice non trovato"))</f>
        <v/>
      </c>
      <c r="C296" s="21" t="n"/>
      <c r="D296" s="20" t="n"/>
      <c r="E296" s="23" t="n"/>
      <c r="F296" s="26">
        <f>IF(OR($A296="",$D296=""),"",TODAY()-$D296)</f>
        <v/>
      </c>
      <c r="G296" s="26">
        <f>IF($A296="","",IF($E296=0,"Saldato","Aperto"))</f>
        <v/>
      </c>
      <c r="H296" s="24" t="n"/>
    </row>
    <row r="297" ht="15.75" customHeight="1">
      <c r="A297" s="21" t="n"/>
      <c r="B297" s="22">
        <f>IF($A297="","",IFERROR(INDEX(Clienti!$B:$B,MATCH($A297,Clienti!$A:$A,0)),"Codice non trovato"))</f>
        <v/>
      </c>
      <c r="C297" s="21" t="n"/>
      <c r="D297" s="20" t="n"/>
      <c r="E297" s="23" t="n"/>
      <c r="F297" s="26">
        <f>IF(OR($A297="",$D297=""),"",TODAY()-$D297)</f>
        <v/>
      </c>
      <c r="G297" s="26">
        <f>IF($A297="","",IF($E297=0,"Saldato","Aperto"))</f>
        <v/>
      </c>
      <c r="H297" s="24" t="n"/>
    </row>
    <row r="298" ht="15.75" customHeight="1">
      <c r="A298" s="21" t="n"/>
      <c r="B298" s="22">
        <f>IF($A298="","",IFERROR(INDEX(Clienti!$B:$B,MATCH($A298,Clienti!$A:$A,0)),"Codice non trovato"))</f>
        <v/>
      </c>
      <c r="C298" s="21" t="n"/>
      <c r="D298" s="20" t="n"/>
      <c r="E298" s="23" t="n"/>
      <c r="F298" s="26">
        <f>IF(OR($A298="",$D298=""),"",TODAY()-$D298)</f>
        <v/>
      </c>
      <c r="G298" s="26">
        <f>IF($A298="","",IF($E298=0,"Saldato","Aperto"))</f>
        <v/>
      </c>
      <c r="H298" s="24" t="n"/>
    </row>
    <row r="299" ht="15.75" customHeight="1">
      <c r="A299" s="21" t="n"/>
      <c r="B299" s="22">
        <f>IF($A299="","",IFERROR(INDEX(Clienti!$B:$B,MATCH($A299,Clienti!$A:$A,0)),"Codice non trovato"))</f>
        <v/>
      </c>
      <c r="C299" s="21" t="n"/>
      <c r="D299" s="20" t="n"/>
      <c r="E299" s="23" t="n"/>
      <c r="F299" s="26">
        <f>IF(OR($A299="",$D299=""),"",TODAY()-$D299)</f>
        <v/>
      </c>
      <c r="G299" s="26">
        <f>IF($A299="","",IF($E299=0,"Saldato","Aperto"))</f>
        <v/>
      </c>
      <c r="H299" s="24" t="n"/>
    </row>
    <row r="300" ht="15.75" customHeight="1">
      <c r="A300" s="21" t="n"/>
      <c r="B300" s="22">
        <f>IF($A300="","",IFERROR(INDEX(Clienti!$B:$B,MATCH($A300,Clienti!$A:$A,0)),"Codice non trovato"))</f>
        <v/>
      </c>
      <c r="C300" s="21" t="n"/>
      <c r="D300" s="20" t="n"/>
      <c r="E300" s="23" t="n"/>
      <c r="F300" s="26">
        <f>IF(OR($A300="",$D300=""),"",TODAY()-$D300)</f>
        <v/>
      </c>
      <c r="G300" s="26">
        <f>IF($A300="","",IF($E300=0,"Saldato","Aperto"))</f>
        <v/>
      </c>
      <c r="H300" s="24" t="n"/>
    </row>
    <row r="301" ht="15.75" customHeight="1">
      <c r="A301" s="21" t="n"/>
      <c r="B301" s="22">
        <f>IF($A301="","",IFERROR(INDEX(Clienti!$B:$B,MATCH($A301,Clienti!$A:$A,0)),"Codice non trovato"))</f>
        <v/>
      </c>
      <c r="C301" s="21" t="n"/>
      <c r="D301" s="20" t="n"/>
      <c r="E301" s="23" t="n"/>
      <c r="F301" s="26">
        <f>IF(OR($A301="",$D301=""),"",TODAY()-$D301)</f>
        <v/>
      </c>
      <c r="G301" s="26">
        <f>IF($A301="","",IF($E301=0,"Saldato","Aperto"))</f>
        <v/>
      </c>
      <c r="H301" s="24" t="n"/>
    </row>
    <row r="302" ht="15.75" customHeight="1">
      <c r="A302" s="21" t="n"/>
      <c r="B302" s="22">
        <f>IF($A302="","",IFERROR(INDEX(Clienti!$B:$B,MATCH($A302,Clienti!$A:$A,0)),"Codice non trovato"))</f>
        <v/>
      </c>
      <c r="C302" s="21" t="n"/>
      <c r="D302" s="20" t="n"/>
      <c r="E302" s="23" t="n"/>
      <c r="F302" s="26">
        <f>IF(OR($A302="",$D302=""),"",TODAY()-$D302)</f>
        <v/>
      </c>
      <c r="G302" s="26">
        <f>IF($A302="","",IF($E302=0,"Saldato","Aperto"))</f>
        <v/>
      </c>
      <c r="H302" s="24" t="n"/>
    </row>
    <row r="303" ht="15.75" customHeight="1">
      <c r="A303" s="21" t="n"/>
      <c r="B303" s="22">
        <f>IF($A303="","",IFERROR(INDEX(Clienti!$B:$B,MATCH($A303,Clienti!$A:$A,0)),"Codice non trovato"))</f>
        <v/>
      </c>
      <c r="C303" s="21" t="n"/>
      <c r="D303" s="20" t="n"/>
      <c r="E303" s="23" t="n"/>
      <c r="F303" s="26">
        <f>IF(OR($A303="",$D303=""),"",TODAY()-$D303)</f>
        <v/>
      </c>
      <c r="G303" s="26">
        <f>IF($A303="","",IF($E303=0,"Saldato","Aperto"))</f>
        <v/>
      </c>
      <c r="H303" s="24" t="n"/>
    </row>
    <row r="304" ht="15.75" customHeight="1">
      <c r="A304" s="21" t="n"/>
      <c r="B304" s="22">
        <f>IF($A304="","",IFERROR(INDEX(Clienti!$B:$B,MATCH($A304,Clienti!$A:$A,0)),"Codice non trovato"))</f>
        <v/>
      </c>
      <c r="C304" s="21" t="n"/>
      <c r="D304" s="20" t="n"/>
      <c r="E304" s="23" t="n"/>
      <c r="F304" s="26">
        <f>IF(OR($A304="",$D304=""),"",TODAY()-$D304)</f>
        <v/>
      </c>
      <c r="G304" s="26">
        <f>IF($A304="","",IF($E304=0,"Saldato","Aperto"))</f>
        <v/>
      </c>
      <c r="H304" s="24" t="n"/>
    </row>
    <row r="305" ht="15.75" customHeight="1">
      <c r="A305" s="21" t="n"/>
      <c r="B305" s="22">
        <f>IF($A305="","",IFERROR(INDEX(Clienti!$B:$B,MATCH($A305,Clienti!$A:$A,0)),"Codice non trovato"))</f>
        <v/>
      </c>
      <c r="C305" s="21" t="n"/>
      <c r="D305" s="20" t="n"/>
      <c r="E305" s="23" t="n"/>
      <c r="F305" s="26">
        <f>IF(OR($A305="",$D305=""),"",TODAY()-$D305)</f>
        <v/>
      </c>
      <c r="G305" s="26">
        <f>IF($A305="","",IF($E305=0,"Saldato","Aperto"))</f>
        <v/>
      </c>
      <c r="H305" s="24" t="n"/>
    </row>
    <row r="306" ht="15.75" customHeight="1">
      <c r="A306" s="21" t="n"/>
      <c r="B306" s="22">
        <f>IF($A306="","",IFERROR(INDEX(Clienti!$B:$B,MATCH($A306,Clienti!$A:$A,0)),"Codice non trovato"))</f>
        <v/>
      </c>
      <c r="C306" s="21" t="n"/>
      <c r="D306" s="20" t="n"/>
      <c r="E306" s="23" t="n"/>
      <c r="F306" s="26">
        <f>IF(OR($A306="",$D306=""),"",TODAY()-$D306)</f>
        <v/>
      </c>
      <c r="G306" s="26">
        <f>IF($A306="","",IF($E306=0,"Saldato","Aperto"))</f>
        <v/>
      </c>
      <c r="H306" s="24" t="n"/>
    </row>
    <row r="307" ht="15.75" customHeight="1">
      <c r="A307" s="21" t="n"/>
      <c r="B307" s="22">
        <f>IF($A307="","",IFERROR(INDEX(Clienti!$B:$B,MATCH($A307,Clienti!$A:$A,0)),"Codice non trovato"))</f>
        <v/>
      </c>
      <c r="C307" s="21" t="n"/>
      <c r="D307" s="20" t="n"/>
      <c r="E307" s="23" t="n"/>
      <c r="F307" s="26">
        <f>IF(OR($A307="",$D307=""),"",TODAY()-$D307)</f>
        <v/>
      </c>
      <c r="G307" s="26">
        <f>IF($A307="","",IF($E307=0,"Saldato","Aperto"))</f>
        <v/>
      </c>
      <c r="H307" s="24" t="n"/>
    </row>
    <row r="308" ht="15.75" customHeight="1">
      <c r="A308" s="21" t="n"/>
      <c r="B308" s="22">
        <f>IF($A308="","",IFERROR(INDEX(Clienti!$B:$B,MATCH($A308,Clienti!$A:$A,0)),"Codice non trovato"))</f>
        <v/>
      </c>
      <c r="C308" s="21" t="n"/>
      <c r="D308" s="20" t="n"/>
      <c r="E308" s="23" t="n"/>
      <c r="F308" s="26">
        <f>IF(OR($A308="",$D308=""),"",TODAY()-$D308)</f>
        <v/>
      </c>
      <c r="G308" s="26">
        <f>IF($A308="","",IF($E308=0,"Saldato","Aperto"))</f>
        <v/>
      </c>
      <c r="H308" s="24" t="n"/>
    </row>
    <row r="309" ht="15.75" customHeight="1">
      <c r="A309" s="21" t="n"/>
      <c r="B309" s="22">
        <f>IF($A309="","",IFERROR(INDEX(Clienti!$B:$B,MATCH($A309,Clienti!$A:$A,0)),"Codice non trovato"))</f>
        <v/>
      </c>
      <c r="C309" s="21" t="n"/>
      <c r="D309" s="20" t="n"/>
      <c r="E309" s="23" t="n"/>
      <c r="F309" s="26">
        <f>IF(OR($A309="",$D309=""),"",TODAY()-$D309)</f>
        <v/>
      </c>
      <c r="G309" s="26">
        <f>IF($A309="","",IF($E309=0,"Saldato","Aperto"))</f>
        <v/>
      </c>
      <c r="H309" s="24" t="n"/>
    </row>
    <row r="310" ht="15.75" customHeight="1">
      <c r="A310" s="21" t="n"/>
      <c r="B310" s="22">
        <f>IF($A310="","",IFERROR(INDEX(Clienti!$B:$B,MATCH($A310,Clienti!$A:$A,0)),"Codice non trovato"))</f>
        <v/>
      </c>
      <c r="C310" s="21" t="n"/>
      <c r="D310" s="20" t="n"/>
      <c r="E310" s="23" t="n"/>
      <c r="F310" s="26">
        <f>IF(OR($A310="",$D310=""),"",TODAY()-$D310)</f>
        <v/>
      </c>
      <c r="G310" s="26">
        <f>IF($A310="","",IF($E310=0,"Saldato","Aperto"))</f>
        <v/>
      </c>
      <c r="H310" s="24" t="n"/>
    </row>
    <row r="311" ht="15.75" customHeight="1">
      <c r="A311" s="21" t="n"/>
      <c r="B311" s="22">
        <f>IF($A311="","",IFERROR(INDEX(Clienti!$B:$B,MATCH($A311,Clienti!$A:$A,0)),"Codice non trovato"))</f>
        <v/>
      </c>
      <c r="C311" s="21" t="n"/>
      <c r="D311" s="20" t="n"/>
      <c r="E311" s="23" t="n"/>
      <c r="F311" s="26">
        <f>IF(OR($A311="",$D311=""),"",TODAY()-$D311)</f>
        <v/>
      </c>
      <c r="G311" s="26">
        <f>IF($A311="","",IF($E311=0,"Saldato","Aperto"))</f>
        <v/>
      </c>
      <c r="H311" s="24" t="n"/>
    </row>
    <row r="312" ht="15.75" customHeight="1">
      <c r="A312" s="21" t="n"/>
      <c r="B312" s="22">
        <f>IF($A312="","",IFERROR(INDEX(Clienti!$B:$B,MATCH($A312,Clienti!$A:$A,0)),"Codice non trovato"))</f>
        <v/>
      </c>
      <c r="C312" s="21" t="n"/>
      <c r="D312" s="20" t="n"/>
      <c r="E312" s="23" t="n"/>
      <c r="F312" s="26">
        <f>IF(OR($A312="",$D312=""),"",TODAY()-$D312)</f>
        <v/>
      </c>
      <c r="G312" s="26">
        <f>IF($A312="","",IF($E312=0,"Saldato","Aperto"))</f>
        <v/>
      </c>
      <c r="H312" s="24" t="n"/>
    </row>
    <row r="313" ht="15.75" customHeight="1">
      <c r="A313" s="21" t="n"/>
      <c r="B313" s="22">
        <f>IF($A313="","",IFERROR(INDEX(Clienti!$B:$B,MATCH($A313,Clienti!$A:$A,0)),"Codice non trovato"))</f>
        <v/>
      </c>
      <c r="C313" s="21" t="n"/>
      <c r="D313" s="20" t="n"/>
      <c r="E313" s="23" t="n"/>
      <c r="F313" s="26">
        <f>IF(OR($A313="",$D313=""),"",TODAY()-$D313)</f>
        <v/>
      </c>
      <c r="G313" s="26">
        <f>IF($A313="","",IF($E313=0,"Saldato","Aperto"))</f>
        <v/>
      </c>
      <c r="H313" s="24" t="n"/>
    </row>
    <row r="314" ht="15.75" customHeight="1">
      <c r="A314" s="21" t="n"/>
      <c r="B314" s="22">
        <f>IF($A314="","",IFERROR(INDEX(Clienti!$B:$B,MATCH($A314,Clienti!$A:$A,0)),"Codice non trovato"))</f>
        <v/>
      </c>
      <c r="C314" s="21" t="n"/>
      <c r="D314" s="20" t="n"/>
      <c r="E314" s="23" t="n"/>
      <c r="F314" s="26">
        <f>IF(OR($A314="",$D314=""),"",TODAY()-$D314)</f>
        <v/>
      </c>
      <c r="G314" s="26">
        <f>IF($A314="","",IF($E314=0,"Saldato","Aperto"))</f>
        <v/>
      </c>
      <c r="H314" s="24" t="n"/>
    </row>
    <row r="315" ht="15.75" customHeight="1">
      <c r="A315" s="21" t="n"/>
      <c r="B315" s="22">
        <f>IF($A315="","",IFERROR(INDEX(Clienti!$B:$B,MATCH($A315,Clienti!$A:$A,0)),"Codice non trovato"))</f>
        <v/>
      </c>
      <c r="C315" s="21" t="n"/>
      <c r="D315" s="20" t="n"/>
      <c r="E315" s="23" t="n"/>
      <c r="F315" s="26">
        <f>IF(OR($A315="",$D315=""),"",TODAY()-$D315)</f>
        <v/>
      </c>
      <c r="G315" s="26">
        <f>IF($A315="","",IF($E315=0,"Saldato","Aperto"))</f>
        <v/>
      </c>
      <c r="H315" s="24" t="n"/>
    </row>
    <row r="316" ht="15.75" customHeight="1">
      <c r="A316" s="21" t="n"/>
      <c r="B316" s="22">
        <f>IF($A316="","",IFERROR(INDEX(Clienti!$B:$B,MATCH($A316,Clienti!$A:$A,0)),"Codice non trovato"))</f>
        <v/>
      </c>
      <c r="C316" s="21" t="n"/>
      <c r="D316" s="20" t="n"/>
      <c r="E316" s="23" t="n"/>
      <c r="F316" s="26">
        <f>IF(OR($A316="",$D316=""),"",TODAY()-$D316)</f>
        <v/>
      </c>
      <c r="G316" s="26">
        <f>IF($A316="","",IF($E316=0,"Saldato","Aperto"))</f>
        <v/>
      </c>
      <c r="H316" s="24" t="n"/>
    </row>
    <row r="317" ht="15.75" customHeight="1">
      <c r="A317" s="21" t="n"/>
      <c r="B317" s="22">
        <f>IF($A317="","",IFERROR(INDEX(Clienti!$B:$B,MATCH($A317,Clienti!$A:$A,0)),"Codice non trovato"))</f>
        <v/>
      </c>
      <c r="C317" s="21" t="n"/>
      <c r="D317" s="20" t="n"/>
      <c r="E317" s="23" t="n"/>
      <c r="F317" s="26">
        <f>IF(OR($A317="",$D317=""),"",TODAY()-$D317)</f>
        <v/>
      </c>
      <c r="G317" s="26">
        <f>IF($A317="","",IF($E317=0,"Saldato","Aperto"))</f>
        <v/>
      </c>
      <c r="H317" s="24" t="n"/>
    </row>
    <row r="318" ht="15.75" customHeight="1">
      <c r="A318" s="21" t="n"/>
      <c r="B318" s="22">
        <f>IF($A318="","",IFERROR(INDEX(Clienti!$B:$B,MATCH($A318,Clienti!$A:$A,0)),"Codice non trovato"))</f>
        <v/>
      </c>
      <c r="C318" s="21" t="n"/>
      <c r="D318" s="20" t="n"/>
      <c r="E318" s="23" t="n"/>
      <c r="F318" s="26">
        <f>IF(OR($A318="",$D318=""),"",TODAY()-$D318)</f>
        <v/>
      </c>
      <c r="G318" s="26">
        <f>IF($A318="","",IF($E318=0,"Saldato","Aperto"))</f>
        <v/>
      </c>
      <c r="H318" s="24" t="n"/>
    </row>
    <row r="319" ht="15.75" customHeight="1">
      <c r="A319" s="21" t="n"/>
      <c r="B319" s="22">
        <f>IF($A319="","",IFERROR(INDEX(Clienti!$B:$B,MATCH($A319,Clienti!$A:$A,0)),"Codice non trovato"))</f>
        <v/>
      </c>
      <c r="C319" s="21" t="n"/>
      <c r="D319" s="20" t="n"/>
      <c r="E319" s="23" t="n"/>
      <c r="F319" s="26">
        <f>IF(OR($A319="",$D319=""),"",TODAY()-$D319)</f>
        <v/>
      </c>
      <c r="G319" s="26">
        <f>IF($A319="","",IF($E319=0,"Saldato","Aperto"))</f>
        <v/>
      </c>
      <c r="H319" s="24" t="n"/>
    </row>
    <row r="320" ht="15.75" customHeight="1">
      <c r="A320" s="21" t="n"/>
      <c r="B320" s="22">
        <f>IF($A320="","",IFERROR(INDEX(Clienti!$B:$B,MATCH($A320,Clienti!$A:$A,0)),"Codice non trovato"))</f>
        <v/>
      </c>
      <c r="C320" s="21" t="n"/>
      <c r="D320" s="20" t="n"/>
      <c r="E320" s="23" t="n"/>
      <c r="F320" s="26">
        <f>IF(OR($A320="",$D320=""),"",TODAY()-$D320)</f>
        <v/>
      </c>
      <c r="G320" s="26">
        <f>IF($A320="","",IF($E320=0,"Saldato","Aperto"))</f>
        <v/>
      </c>
      <c r="H320" s="24" t="n"/>
    </row>
    <row r="321" ht="15.75" customHeight="1">
      <c r="A321" s="21" t="n"/>
      <c r="B321" s="22">
        <f>IF($A321="","",IFERROR(INDEX(Clienti!$B:$B,MATCH($A321,Clienti!$A:$A,0)),"Codice non trovato"))</f>
        <v/>
      </c>
      <c r="C321" s="21" t="n"/>
      <c r="D321" s="20" t="n"/>
      <c r="E321" s="23" t="n"/>
      <c r="F321" s="26">
        <f>IF(OR($A321="",$D321=""),"",TODAY()-$D321)</f>
        <v/>
      </c>
      <c r="G321" s="26">
        <f>IF($A321="","",IF($E321=0,"Saldato","Aperto"))</f>
        <v/>
      </c>
      <c r="H321" s="24" t="n"/>
    </row>
    <row r="322" ht="15.75" customHeight="1">
      <c r="A322" s="21" t="n"/>
      <c r="B322" s="22">
        <f>IF($A322="","",IFERROR(INDEX(Clienti!$B:$B,MATCH($A322,Clienti!$A:$A,0)),"Codice non trovato"))</f>
        <v/>
      </c>
      <c r="C322" s="21" t="n"/>
      <c r="D322" s="20" t="n"/>
      <c r="E322" s="23" t="n"/>
      <c r="F322" s="26">
        <f>IF(OR($A322="",$D322=""),"",TODAY()-$D322)</f>
        <v/>
      </c>
      <c r="G322" s="26">
        <f>IF($A322="","",IF($E322=0,"Saldato","Aperto"))</f>
        <v/>
      </c>
      <c r="H322" s="24" t="n"/>
    </row>
    <row r="323" ht="15.75" customHeight="1">
      <c r="A323" s="21" t="n"/>
      <c r="B323" s="22">
        <f>IF($A323="","",IFERROR(INDEX(Clienti!$B:$B,MATCH($A323,Clienti!$A:$A,0)),"Codice non trovato"))</f>
        <v/>
      </c>
      <c r="C323" s="21" t="n"/>
      <c r="D323" s="20" t="n"/>
      <c r="E323" s="23" t="n"/>
      <c r="F323" s="26">
        <f>IF(OR($A323="",$D323=""),"",TODAY()-$D323)</f>
        <v/>
      </c>
      <c r="G323" s="26">
        <f>IF($A323="","",IF($E323=0,"Saldato","Aperto"))</f>
        <v/>
      </c>
      <c r="H323" s="24" t="n"/>
    </row>
    <row r="324" ht="15.75" customHeight="1">
      <c r="A324" s="21" t="n"/>
      <c r="B324" s="22">
        <f>IF($A324="","",IFERROR(INDEX(Clienti!$B:$B,MATCH($A324,Clienti!$A:$A,0)),"Codice non trovato"))</f>
        <v/>
      </c>
      <c r="C324" s="21" t="n"/>
      <c r="D324" s="20" t="n"/>
      <c r="E324" s="23" t="n"/>
      <c r="F324" s="26">
        <f>IF(OR($A324="",$D324=""),"",TODAY()-$D324)</f>
        <v/>
      </c>
      <c r="G324" s="26">
        <f>IF($A324="","",IF($E324=0,"Saldato","Aperto"))</f>
        <v/>
      </c>
      <c r="H324" s="24" t="n"/>
    </row>
    <row r="325" ht="15.75" customHeight="1">
      <c r="A325" s="21" t="n"/>
      <c r="B325" s="22">
        <f>IF($A325="","",IFERROR(INDEX(Clienti!$B:$B,MATCH($A325,Clienti!$A:$A,0)),"Codice non trovato"))</f>
        <v/>
      </c>
      <c r="C325" s="21" t="n"/>
      <c r="D325" s="20" t="n"/>
      <c r="E325" s="23" t="n"/>
      <c r="F325" s="26">
        <f>IF(OR($A325="",$D325=""),"",TODAY()-$D325)</f>
        <v/>
      </c>
      <c r="G325" s="26">
        <f>IF($A325="","",IF($E325=0,"Saldato","Aperto"))</f>
        <v/>
      </c>
      <c r="H325" s="24" t="n"/>
    </row>
    <row r="326" ht="15.75" customHeight="1">
      <c r="A326" s="21" t="n"/>
      <c r="B326" s="22">
        <f>IF($A326="","",IFERROR(INDEX(Clienti!$B:$B,MATCH($A326,Clienti!$A:$A,0)),"Codice non trovato"))</f>
        <v/>
      </c>
      <c r="C326" s="21" t="n"/>
      <c r="D326" s="20" t="n"/>
      <c r="E326" s="23" t="n"/>
      <c r="F326" s="26">
        <f>IF(OR($A326="",$D326=""),"",TODAY()-$D326)</f>
        <v/>
      </c>
      <c r="G326" s="26">
        <f>IF($A326="","",IF($E326=0,"Saldato","Aperto"))</f>
        <v/>
      </c>
      <c r="H326" s="24" t="n"/>
    </row>
    <row r="327" ht="15.75" customHeight="1">
      <c r="A327" s="21" t="n"/>
      <c r="B327" s="22">
        <f>IF($A327="","",IFERROR(INDEX(Clienti!$B:$B,MATCH($A327,Clienti!$A:$A,0)),"Codice non trovato"))</f>
        <v/>
      </c>
      <c r="C327" s="21" t="n"/>
      <c r="D327" s="20" t="n"/>
      <c r="E327" s="23" t="n"/>
      <c r="F327" s="26">
        <f>IF(OR($A327="",$D327=""),"",TODAY()-$D327)</f>
        <v/>
      </c>
      <c r="G327" s="26">
        <f>IF($A327="","",IF($E327=0,"Saldato","Aperto"))</f>
        <v/>
      </c>
      <c r="H327" s="24" t="n"/>
    </row>
    <row r="328" ht="15.75" customHeight="1">
      <c r="A328" s="21" t="n"/>
      <c r="B328" s="22">
        <f>IF($A328="","",IFERROR(INDEX(Clienti!$B:$B,MATCH($A328,Clienti!$A:$A,0)),"Codice non trovato"))</f>
        <v/>
      </c>
      <c r="C328" s="21" t="n"/>
      <c r="D328" s="20" t="n"/>
      <c r="E328" s="23" t="n"/>
      <c r="F328" s="26">
        <f>IF(OR($A328="",$D328=""),"",TODAY()-$D328)</f>
        <v/>
      </c>
      <c r="G328" s="26">
        <f>IF($A328="","",IF($E328=0,"Saldato","Aperto"))</f>
        <v/>
      </c>
      <c r="H328" s="24" t="n"/>
    </row>
    <row r="329" ht="15.75" customHeight="1">
      <c r="A329" s="21" t="n"/>
      <c r="B329" s="22">
        <f>IF($A329="","",IFERROR(INDEX(Clienti!$B:$B,MATCH($A329,Clienti!$A:$A,0)),"Codice non trovato"))</f>
        <v/>
      </c>
      <c r="C329" s="21" t="n"/>
      <c r="D329" s="20" t="n"/>
      <c r="E329" s="23" t="n"/>
      <c r="F329" s="26">
        <f>IF(OR($A329="",$D329=""),"",TODAY()-$D329)</f>
        <v/>
      </c>
      <c r="G329" s="26">
        <f>IF($A329="","",IF($E329=0,"Saldato","Aperto"))</f>
        <v/>
      </c>
      <c r="H329" s="24" t="n"/>
    </row>
    <row r="330" ht="15.75" customHeight="1">
      <c r="A330" s="21" t="n"/>
      <c r="B330" s="22">
        <f>IF($A330="","",IFERROR(INDEX(Clienti!$B:$B,MATCH($A330,Clienti!$A:$A,0)),"Codice non trovato"))</f>
        <v/>
      </c>
      <c r="C330" s="21" t="n"/>
      <c r="D330" s="20" t="n"/>
      <c r="E330" s="23" t="n"/>
      <c r="F330" s="26">
        <f>IF(OR($A330="",$D330=""),"",TODAY()-$D330)</f>
        <v/>
      </c>
      <c r="G330" s="26">
        <f>IF($A330="","",IF($E330=0,"Saldato","Aperto"))</f>
        <v/>
      </c>
      <c r="H330" s="24" t="n"/>
    </row>
    <row r="331" ht="15.75" customHeight="1">
      <c r="A331" s="21" t="n"/>
      <c r="B331" s="22">
        <f>IF($A331="","",IFERROR(INDEX(Clienti!$B:$B,MATCH($A331,Clienti!$A:$A,0)),"Codice non trovato"))</f>
        <v/>
      </c>
      <c r="C331" s="21" t="n"/>
      <c r="D331" s="20" t="n"/>
      <c r="E331" s="23" t="n"/>
      <c r="F331" s="26">
        <f>IF(OR($A331="",$D331=""),"",TODAY()-$D331)</f>
        <v/>
      </c>
      <c r="G331" s="26">
        <f>IF($A331="","",IF($E331=0,"Saldato","Aperto"))</f>
        <v/>
      </c>
      <c r="H331" s="24" t="n"/>
    </row>
    <row r="332" ht="15.75" customHeight="1">
      <c r="A332" s="21" t="n"/>
      <c r="B332" s="22">
        <f>IF($A332="","",IFERROR(INDEX(Clienti!$B:$B,MATCH($A332,Clienti!$A:$A,0)),"Codice non trovato"))</f>
        <v/>
      </c>
      <c r="C332" s="21" t="n"/>
      <c r="D332" s="20" t="n"/>
      <c r="E332" s="23" t="n"/>
      <c r="F332" s="26">
        <f>IF(OR($A332="",$D332=""),"",TODAY()-$D332)</f>
        <v/>
      </c>
      <c r="G332" s="26">
        <f>IF($A332="","",IF($E332=0,"Saldato","Aperto"))</f>
        <v/>
      </c>
      <c r="H332" s="24" t="n"/>
    </row>
    <row r="333" ht="15.75" customHeight="1">
      <c r="A333" s="21" t="n"/>
      <c r="B333" s="22">
        <f>IF($A333="","",IFERROR(INDEX(Clienti!$B:$B,MATCH($A333,Clienti!$A:$A,0)),"Codice non trovato"))</f>
        <v/>
      </c>
      <c r="C333" s="21" t="n"/>
      <c r="D333" s="20" t="n"/>
      <c r="E333" s="23" t="n"/>
      <c r="F333" s="26">
        <f>IF(OR($A333="",$D333=""),"",TODAY()-$D333)</f>
        <v/>
      </c>
      <c r="G333" s="26">
        <f>IF($A333="","",IF($E333=0,"Saldato","Aperto"))</f>
        <v/>
      </c>
      <c r="H333" s="24" t="n"/>
    </row>
    <row r="334" ht="15.75" customHeight="1">
      <c r="A334" s="21" t="n"/>
      <c r="B334" s="22">
        <f>IF($A334="","",IFERROR(INDEX(Clienti!$B:$B,MATCH($A334,Clienti!$A:$A,0)),"Codice non trovato"))</f>
        <v/>
      </c>
      <c r="C334" s="21" t="n"/>
      <c r="D334" s="20" t="n"/>
      <c r="E334" s="23" t="n"/>
      <c r="F334" s="26">
        <f>IF(OR($A334="",$D334=""),"",TODAY()-$D334)</f>
        <v/>
      </c>
      <c r="G334" s="26">
        <f>IF($A334="","",IF($E334=0,"Saldato","Aperto"))</f>
        <v/>
      </c>
      <c r="H334" s="24" t="n"/>
    </row>
    <row r="335" ht="15.75" customHeight="1">
      <c r="A335" s="21" t="n"/>
      <c r="B335" s="22">
        <f>IF($A335="","",IFERROR(INDEX(Clienti!$B:$B,MATCH($A335,Clienti!$A:$A,0)),"Codice non trovato"))</f>
        <v/>
      </c>
      <c r="C335" s="21" t="n"/>
      <c r="D335" s="20" t="n"/>
      <c r="E335" s="23" t="n"/>
      <c r="F335" s="26">
        <f>IF(OR($A335="",$D335=""),"",TODAY()-$D335)</f>
        <v/>
      </c>
      <c r="G335" s="26">
        <f>IF($A335="","",IF($E335=0,"Saldato","Aperto"))</f>
        <v/>
      </c>
      <c r="H335" s="24" t="n"/>
    </row>
    <row r="336" ht="15.75" customHeight="1">
      <c r="A336" s="21" t="n"/>
      <c r="B336" s="22">
        <f>IF($A336="","",IFERROR(INDEX(Clienti!$B:$B,MATCH($A336,Clienti!$A:$A,0)),"Codice non trovato"))</f>
        <v/>
      </c>
      <c r="C336" s="21" t="n"/>
      <c r="D336" s="20" t="n"/>
      <c r="E336" s="23" t="n"/>
      <c r="F336" s="26">
        <f>IF(OR($A336="",$D336=""),"",TODAY()-$D336)</f>
        <v/>
      </c>
      <c r="G336" s="26">
        <f>IF($A336="","",IF($E336=0,"Saldato","Aperto"))</f>
        <v/>
      </c>
      <c r="H336" s="24" t="n"/>
    </row>
    <row r="337" ht="15.75" customHeight="1">
      <c r="A337" s="21" t="n"/>
      <c r="B337" s="22">
        <f>IF($A337="","",IFERROR(INDEX(Clienti!$B:$B,MATCH($A337,Clienti!$A:$A,0)),"Codice non trovato"))</f>
        <v/>
      </c>
      <c r="C337" s="21" t="n"/>
      <c r="D337" s="20" t="n"/>
      <c r="E337" s="23" t="n"/>
      <c r="F337" s="26">
        <f>IF(OR($A337="",$D337=""),"",TODAY()-$D337)</f>
        <v/>
      </c>
      <c r="G337" s="26">
        <f>IF($A337="","",IF($E337=0,"Saldato","Aperto"))</f>
        <v/>
      </c>
      <c r="H337" s="24" t="n"/>
    </row>
    <row r="338" ht="15.75" customHeight="1">
      <c r="A338" s="21" t="n"/>
      <c r="B338" s="22">
        <f>IF($A338="","",IFERROR(INDEX(Clienti!$B:$B,MATCH($A338,Clienti!$A:$A,0)),"Codice non trovato"))</f>
        <v/>
      </c>
      <c r="C338" s="21" t="n"/>
      <c r="D338" s="20" t="n"/>
      <c r="E338" s="23" t="n"/>
      <c r="F338" s="26">
        <f>IF(OR($A338="",$D338=""),"",TODAY()-$D338)</f>
        <v/>
      </c>
      <c r="G338" s="26">
        <f>IF($A338="","",IF($E338=0,"Saldato","Aperto"))</f>
        <v/>
      </c>
      <c r="H338" s="24" t="n"/>
    </row>
    <row r="339" ht="15.75" customHeight="1">
      <c r="A339" s="21" t="n"/>
      <c r="B339" s="22">
        <f>IF($A339="","",IFERROR(INDEX(Clienti!$B:$B,MATCH($A339,Clienti!$A:$A,0)),"Codice non trovato"))</f>
        <v/>
      </c>
      <c r="C339" s="21" t="n"/>
      <c r="D339" s="20" t="n"/>
      <c r="E339" s="23" t="n"/>
      <c r="F339" s="26">
        <f>IF(OR($A339="",$D339=""),"",TODAY()-$D339)</f>
        <v/>
      </c>
      <c r="G339" s="26">
        <f>IF($A339="","",IF($E339=0,"Saldato","Aperto"))</f>
        <v/>
      </c>
      <c r="H339" s="24" t="n"/>
    </row>
    <row r="340" ht="15.75" customHeight="1">
      <c r="A340" s="21" t="n"/>
      <c r="B340" s="22">
        <f>IF($A340="","",IFERROR(INDEX(Clienti!$B:$B,MATCH($A340,Clienti!$A:$A,0)),"Codice non trovato"))</f>
        <v/>
      </c>
      <c r="C340" s="21" t="n"/>
      <c r="D340" s="20" t="n"/>
      <c r="E340" s="23" t="n"/>
      <c r="F340" s="26">
        <f>IF(OR($A340="",$D340=""),"",TODAY()-$D340)</f>
        <v/>
      </c>
      <c r="G340" s="26">
        <f>IF($A340="","",IF($E340=0,"Saldato","Aperto"))</f>
        <v/>
      </c>
      <c r="H340" s="24" t="n"/>
    </row>
    <row r="341" ht="15.75" customHeight="1">
      <c r="A341" s="21" t="n"/>
      <c r="B341" s="22">
        <f>IF($A341="","",IFERROR(INDEX(Clienti!$B:$B,MATCH($A341,Clienti!$A:$A,0)),"Codice non trovato"))</f>
        <v/>
      </c>
      <c r="C341" s="21" t="n"/>
      <c r="D341" s="20" t="n"/>
      <c r="E341" s="23" t="n"/>
      <c r="F341" s="26">
        <f>IF(OR($A341="",$D341=""),"",TODAY()-$D341)</f>
        <v/>
      </c>
      <c r="G341" s="26">
        <f>IF($A341="","",IF($E341=0,"Saldato","Aperto"))</f>
        <v/>
      </c>
      <c r="H341" s="24" t="n"/>
    </row>
    <row r="342" ht="15.75" customHeight="1">
      <c r="A342" s="21" t="n"/>
      <c r="B342" s="22">
        <f>IF($A342="","",IFERROR(INDEX(Clienti!$B:$B,MATCH($A342,Clienti!$A:$A,0)),"Codice non trovato"))</f>
        <v/>
      </c>
      <c r="C342" s="21" t="n"/>
      <c r="D342" s="20" t="n"/>
      <c r="E342" s="23" t="n"/>
      <c r="F342" s="26">
        <f>IF(OR($A342="",$D342=""),"",TODAY()-$D342)</f>
        <v/>
      </c>
      <c r="G342" s="26">
        <f>IF($A342="","",IF($E342=0,"Saldato","Aperto"))</f>
        <v/>
      </c>
      <c r="H342" s="24" t="n"/>
    </row>
    <row r="343" ht="15.75" customHeight="1">
      <c r="A343" s="21" t="n"/>
      <c r="B343" s="22">
        <f>IF($A343="","",IFERROR(INDEX(Clienti!$B:$B,MATCH($A343,Clienti!$A:$A,0)),"Codice non trovato"))</f>
        <v/>
      </c>
      <c r="C343" s="21" t="n"/>
      <c r="D343" s="20" t="n"/>
      <c r="E343" s="23" t="n"/>
      <c r="F343" s="26">
        <f>IF(OR($A343="",$D343=""),"",TODAY()-$D343)</f>
        <v/>
      </c>
      <c r="G343" s="26">
        <f>IF($A343="","",IF($E343=0,"Saldato","Aperto"))</f>
        <v/>
      </c>
      <c r="H343" s="24" t="n"/>
    </row>
    <row r="344" ht="15.75" customHeight="1">
      <c r="A344" s="21" t="n"/>
      <c r="B344" s="22">
        <f>IF($A344="","",IFERROR(INDEX(Clienti!$B:$B,MATCH($A344,Clienti!$A:$A,0)),"Codice non trovato"))</f>
        <v/>
      </c>
      <c r="C344" s="21" t="n"/>
      <c r="D344" s="20" t="n"/>
      <c r="E344" s="23" t="n"/>
      <c r="F344" s="26">
        <f>IF(OR($A344="",$D344=""),"",TODAY()-$D344)</f>
        <v/>
      </c>
      <c r="G344" s="26">
        <f>IF($A344="","",IF($E344=0,"Saldato","Aperto"))</f>
        <v/>
      </c>
      <c r="H344" s="24" t="n"/>
    </row>
    <row r="345" ht="15.75" customHeight="1">
      <c r="A345" s="21" t="n"/>
      <c r="B345" s="22">
        <f>IF($A345="","",IFERROR(INDEX(Clienti!$B:$B,MATCH($A345,Clienti!$A:$A,0)),"Codice non trovato"))</f>
        <v/>
      </c>
      <c r="C345" s="21" t="n"/>
      <c r="D345" s="20" t="n"/>
      <c r="E345" s="23" t="n"/>
      <c r="F345" s="26">
        <f>IF(OR($A345="",$D345=""),"",TODAY()-$D345)</f>
        <v/>
      </c>
      <c r="G345" s="26">
        <f>IF($A345="","",IF($E345=0,"Saldato","Aperto"))</f>
        <v/>
      </c>
      <c r="H345" s="24" t="n"/>
    </row>
    <row r="346" ht="15.75" customHeight="1">
      <c r="A346" s="21" t="n"/>
      <c r="B346" s="22">
        <f>IF($A346="","",IFERROR(INDEX(Clienti!$B:$B,MATCH($A346,Clienti!$A:$A,0)),"Codice non trovato"))</f>
        <v/>
      </c>
      <c r="C346" s="21" t="n"/>
      <c r="D346" s="20" t="n"/>
      <c r="E346" s="23" t="n"/>
      <c r="F346" s="26">
        <f>IF(OR($A346="",$D346=""),"",TODAY()-$D346)</f>
        <v/>
      </c>
      <c r="G346" s="26">
        <f>IF($A346="","",IF($E346=0,"Saldato","Aperto"))</f>
        <v/>
      </c>
      <c r="H346" s="24" t="n"/>
    </row>
    <row r="347" ht="15.75" customHeight="1">
      <c r="A347" s="21" t="n"/>
      <c r="B347" s="22">
        <f>IF($A347="","",IFERROR(INDEX(Clienti!$B:$B,MATCH($A347,Clienti!$A:$A,0)),"Codice non trovato"))</f>
        <v/>
      </c>
      <c r="C347" s="21" t="n"/>
      <c r="D347" s="20" t="n"/>
      <c r="E347" s="23" t="n"/>
      <c r="F347" s="26">
        <f>IF(OR($A347="",$D347=""),"",TODAY()-$D347)</f>
        <v/>
      </c>
      <c r="G347" s="26">
        <f>IF($A347="","",IF($E347=0,"Saldato","Aperto"))</f>
        <v/>
      </c>
      <c r="H347" s="24" t="n"/>
    </row>
    <row r="348" ht="15.75" customHeight="1">
      <c r="A348" s="21" t="n"/>
      <c r="B348" s="22">
        <f>IF($A348="","",IFERROR(INDEX(Clienti!$B:$B,MATCH($A348,Clienti!$A:$A,0)),"Codice non trovato"))</f>
        <v/>
      </c>
      <c r="C348" s="21" t="n"/>
      <c r="D348" s="20" t="n"/>
      <c r="E348" s="23" t="n"/>
      <c r="F348" s="26">
        <f>IF(OR($A348="",$D348=""),"",TODAY()-$D348)</f>
        <v/>
      </c>
      <c r="G348" s="26">
        <f>IF($A348="","",IF($E348=0,"Saldato","Aperto"))</f>
        <v/>
      </c>
      <c r="H348" s="24" t="n"/>
    </row>
    <row r="349" ht="15.75" customHeight="1">
      <c r="A349" s="21" t="n"/>
      <c r="B349" s="22">
        <f>IF($A349="","",IFERROR(INDEX(Clienti!$B:$B,MATCH($A349,Clienti!$A:$A,0)),"Codice non trovato"))</f>
        <v/>
      </c>
      <c r="C349" s="21" t="n"/>
      <c r="D349" s="20" t="n"/>
      <c r="E349" s="23" t="n"/>
      <c r="F349" s="26">
        <f>IF(OR($A349="",$D349=""),"",TODAY()-$D349)</f>
        <v/>
      </c>
      <c r="G349" s="26">
        <f>IF($A349="","",IF($E349=0,"Saldato","Aperto"))</f>
        <v/>
      </c>
      <c r="H349" s="24" t="n"/>
    </row>
    <row r="350" ht="15.75" customHeight="1">
      <c r="A350" s="21" t="n"/>
      <c r="B350" s="22">
        <f>IF($A350="","",IFERROR(INDEX(Clienti!$B:$B,MATCH($A350,Clienti!$A:$A,0)),"Codice non trovato"))</f>
        <v/>
      </c>
      <c r="C350" s="21" t="n"/>
      <c r="D350" s="20" t="n"/>
      <c r="E350" s="23" t="n"/>
      <c r="F350" s="26">
        <f>IF(OR($A350="",$D350=""),"",TODAY()-$D350)</f>
        <v/>
      </c>
      <c r="G350" s="26">
        <f>IF($A350="","",IF($E350=0,"Saldato","Aperto"))</f>
        <v/>
      </c>
      <c r="H350" s="24" t="n"/>
    </row>
    <row r="351" ht="15.75" customHeight="1">
      <c r="A351" s="21" t="n"/>
      <c r="B351" s="22">
        <f>IF($A351="","",IFERROR(INDEX(Clienti!$B:$B,MATCH($A351,Clienti!$A:$A,0)),"Codice non trovato"))</f>
        <v/>
      </c>
      <c r="C351" s="21" t="n"/>
      <c r="D351" s="20" t="n"/>
      <c r="E351" s="23" t="n"/>
      <c r="F351" s="26">
        <f>IF(OR($A351="",$D351=""),"",TODAY()-$D351)</f>
        <v/>
      </c>
      <c r="G351" s="26">
        <f>IF($A351="","",IF($E351=0,"Saldato","Aperto"))</f>
        <v/>
      </c>
      <c r="H351" s="24" t="n"/>
    </row>
    <row r="352" ht="15.75" customHeight="1">
      <c r="A352" s="21" t="n"/>
      <c r="B352" s="22">
        <f>IF($A352="","",IFERROR(INDEX(Clienti!$B:$B,MATCH($A352,Clienti!$A:$A,0)),"Codice non trovato"))</f>
        <v/>
      </c>
      <c r="C352" s="21" t="n"/>
      <c r="D352" s="20" t="n"/>
      <c r="E352" s="23" t="n"/>
      <c r="F352" s="26">
        <f>IF(OR($A352="",$D352=""),"",TODAY()-$D352)</f>
        <v/>
      </c>
      <c r="G352" s="26">
        <f>IF($A352="","",IF($E352=0,"Saldato","Aperto"))</f>
        <v/>
      </c>
      <c r="H352" s="24" t="n"/>
    </row>
    <row r="353" ht="15.75" customHeight="1">
      <c r="A353" s="21" t="n"/>
      <c r="B353" s="22">
        <f>IF($A353="","",IFERROR(INDEX(Clienti!$B:$B,MATCH($A353,Clienti!$A:$A,0)),"Codice non trovato"))</f>
        <v/>
      </c>
      <c r="C353" s="21" t="n"/>
      <c r="D353" s="20" t="n"/>
      <c r="E353" s="23" t="n"/>
      <c r="F353" s="26">
        <f>IF(OR($A353="",$D353=""),"",TODAY()-$D353)</f>
        <v/>
      </c>
      <c r="G353" s="26">
        <f>IF($A353="","",IF($E353=0,"Saldato","Aperto"))</f>
        <v/>
      </c>
      <c r="H353" s="24" t="n"/>
    </row>
    <row r="354" ht="15.75" customHeight="1">
      <c r="A354" s="21" t="n"/>
      <c r="B354" s="22">
        <f>IF($A354="","",IFERROR(INDEX(Clienti!$B:$B,MATCH($A354,Clienti!$A:$A,0)),"Codice non trovato"))</f>
        <v/>
      </c>
      <c r="C354" s="21" t="n"/>
      <c r="D354" s="20" t="n"/>
      <c r="E354" s="23" t="n"/>
      <c r="F354" s="26">
        <f>IF(OR($A354="",$D354=""),"",TODAY()-$D354)</f>
        <v/>
      </c>
      <c r="G354" s="26">
        <f>IF($A354="","",IF($E354=0,"Saldato","Aperto"))</f>
        <v/>
      </c>
      <c r="H354" s="24" t="n"/>
    </row>
    <row r="355" ht="15.75" customHeight="1">
      <c r="A355" s="21" t="n"/>
      <c r="B355" s="22">
        <f>IF($A355="","",IFERROR(INDEX(Clienti!$B:$B,MATCH($A355,Clienti!$A:$A,0)),"Codice non trovato"))</f>
        <v/>
      </c>
      <c r="C355" s="21" t="n"/>
      <c r="D355" s="20" t="n"/>
      <c r="E355" s="23" t="n"/>
      <c r="F355" s="26">
        <f>IF(OR($A355="",$D355=""),"",TODAY()-$D355)</f>
        <v/>
      </c>
      <c r="G355" s="26">
        <f>IF($A355="","",IF($E355=0,"Saldato","Aperto"))</f>
        <v/>
      </c>
      <c r="H355" s="24" t="n"/>
    </row>
    <row r="356" ht="15.75" customHeight="1">
      <c r="A356" s="21" t="n"/>
      <c r="B356" s="22">
        <f>IF($A356="","",IFERROR(INDEX(Clienti!$B:$B,MATCH($A356,Clienti!$A:$A,0)),"Codice non trovato"))</f>
        <v/>
      </c>
      <c r="C356" s="21" t="n"/>
      <c r="D356" s="20" t="n"/>
      <c r="E356" s="23" t="n"/>
      <c r="F356" s="26">
        <f>IF(OR($A356="",$D356=""),"",TODAY()-$D356)</f>
        <v/>
      </c>
      <c r="G356" s="26">
        <f>IF($A356="","",IF($E356=0,"Saldato","Aperto"))</f>
        <v/>
      </c>
      <c r="H356" s="24" t="n"/>
    </row>
    <row r="357" ht="15.75" customHeight="1">
      <c r="A357" s="21" t="n"/>
      <c r="B357" s="22">
        <f>IF($A357="","",IFERROR(INDEX(Clienti!$B:$B,MATCH($A357,Clienti!$A:$A,0)),"Codice non trovato"))</f>
        <v/>
      </c>
      <c r="C357" s="21" t="n"/>
      <c r="D357" s="20" t="n"/>
      <c r="E357" s="23" t="n"/>
      <c r="F357" s="26">
        <f>IF(OR($A357="",$D357=""),"",TODAY()-$D357)</f>
        <v/>
      </c>
      <c r="G357" s="26">
        <f>IF($A357="","",IF($E357=0,"Saldato","Aperto"))</f>
        <v/>
      </c>
      <c r="H357" s="24" t="n"/>
    </row>
    <row r="358" ht="15.75" customHeight="1">
      <c r="A358" s="21" t="n"/>
      <c r="B358" s="22">
        <f>IF($A358="","",IFERROR(INDEX(Clienti!$B:$B,MATCH($A358,Clienti!$A:$A,0)),"Codice non trovato"))</f>
        <v/>
      </c>
      <c r="C358" s="21" t="n"/>
      <c r="D358" s="20" t="n"/>
      <c r="E358" s="23" t="n"/>
      <c r="F358" s="26">
        <f>IF(OR($A358="",$D358=""),"",TODAY()-$D358)</f>
        <v/>
      </c>
      <c r="G358" s="26">
        <f>IF($A358="","",IF($E358=0,"Saldato","Aperto"))</f>
        <v/>
      </c>
      <c r="H358" s="24" t="n"/>
    </row>
    <row r="359" ht="15.75" customHeight="1">
      <c r="A359" s="21" t="n"/>
      <c r="B359" s="22">
        <f>IF($A359="","",IFERROR(INDEX(Clienti!$B:$B,MATCH($A359,Clienti!$A:$A,0)),"Codice non trovato"))</f>
        <v/>
      </c>
      <c r="C359" s="21" t="n"/>
      <c r="D359" s="20" t="n"/>
      <c r="E359" s="23" t="n"/>
      <c r="F359" s="26">
        <f>IF(OR($A359="",$D359=""),"",TODAY()-$D359)</f>
        <v/>
      </c>
      <c r="G359" s="26">
        <f>IF($A359="","",IF($E359=0,"Saldato","Aperto"))</f>
        <v/>
      </c>
      <c r="H359" s="24" t="n"/>
    </row>
    <row r="360" ht="15.75" customHeight="1">
      <c r="A360" s="21" t="n"/>
      <c r="B360" s="22">
        <f>IF($A360="","",IFERROR(INDEX(Clienti!$B:$B,MATCH($A360,Clienti!$A:$A,0)),"Codice non trovato"))</f>
        <v/>
      </c>
      <c r="C360" s="21" t="n"/>
      <c r="D360" s="20" t="n"/>
      <c r="E360" s="23" t="n"/>
      <c r="F360" s="26">
        <f>IF(OR($A360="",$D360=""),"",TODAY()-$D360)</f>
        <v/>
      </c>
      <c r="G360" s="26">
        <f>IF($A360="","",IF($E360=0,"Saldato","Aperto"))</f>
        <v/>
      </c>
      <c r="H360" s="24" t="n"/>
    </row>
    <row r="361" ht="15.75" customHeight="1">
      <c r="A361" s="21" t="n"/>
      <c r="B361" s="22">
        <f>IF($A361="","",IFERROR(INDEX(Clienti!$B:$B,MATCH($A361,Clienti!$A:$A,0)),"Codice non trovato"))</f>
        <v/>
      </c>
      <c r="C361" s="21" t="n"/>
      <c r="D361" s="20" t="n"/>
      <c r="E361" s="23" t="n"/>
      <c r="F361" s="26">
        <f>IF(OR($A361="",$D361=""),"",TODAY()-$D361)</f>
        <v/>
      </c>
      <c r="G361" s="26">
        <f>IF($A361="","",IF($E361=0,"Saldato","Aperto"))</f>
        <v/>
      </c>
      <c r="H361" s="24" t="n"/>
    </row>
    <row r="362" ht="15.75" customHeight="1">
      <c r="A362" s="21" t="n"/>
      <c r="B362" s="22">
        <f>IF($A362="","",IFERROR(INDEX(Clienti!$B:$B,MATCH($A362,Clienti!$A:$A,0)),"Codice non trovato"))</f>
        <v/>
      </c>
      <c r="C362" s="21" t="n"/>
      <c r="D362" s="20" t="n"/>
      <c r="E362" s="23" t="n"/>
      <c r="F362" s="26">
        <f>IF(OR($A362="",$D362=""),"",TODAY()-$D362)</f>
        <v/>
      </c>
      <c r="G362" s="26">
        <f>IF($A362="","",IF($E362=0,"Saldato","Aperto"))</f>
        <v/>
      </c>
      <c r="H362" s="24" t="n"/>
    </row>
    <row r="363" ht="15.75" customHeight="1">
      <c r="A363" s="21" t="n"/>
      <c r="B363" s="22">
        <f>IF($A363="","",IFERROR(INDEX(Clienti!$B:$B,MATCH($A363,Clienti!$A:$A,0)),"Codice non trovato"))</f>
        <v/>
      </c>
      <c r="C363" s="21" t="n"/>
      <c r="D363" s="20" t="n"/>
      <c r="E363" s="23" t="n"/>
      <c r="F363" s="26">
        <f>IF(OR($A363="",$D363=""),"",TODAY()-$D363)</f>
        <v/>
      </c>
      <c r="G363" s="26">
        <f>IF($A363="","",IF($E363=0,"Saldato","Aperto"))</f>
        <v/>
      </c>
      <c r="H363" s="24" t="n"/>
    </row>
    <row r="364" ht="15.75" customHeight="1">
      <c r="A364" s="21" t="n"/>
      <c r="B364" s="22">
        <f>IF($A364="","",IFERROR(INDEX(Clienti!$B:$B,MATCH($A364,Clienti!$A:$A,0)),"Codice non trovato"))</f>
        <v/>
      </c>
      <c r="C364" s="21" t="n"/>
      <c r="D364" s="20" t="n"/>
      <c r="E364" s="23" t="n"/>
      <c r="F364" s="26">
        <f>IF(OR($A364="",$D364=""),"",TODAY()-$D364)</f>
        <v/>
      </c>
      <c r="G364" s="26">
        <f>IF($A364="","",IF($E364=0,"Saldato","Aperto"))</f>
        <v/>
      </c>
      <c r="H364" s="24" t="n"/>
    </row>
    <row r="365" ht="15.75" customHeight="1">
      <c r="A365" s="21" t="n"/>
      <c r="B365" s="22">
        <f>IF($A365="","",IFERROR(INDEX(Clienti!$B:$B,MATCH($A365,Clienti!$A:$A,0)),"Codice non trovato"))</f>
        <v/>
      </c>
      <c r="C365" s="21" t="n"/>
      <c r="D365" s="20" t="n"/>
      <c r="E365" s="23" t="n"/>
      <c r="F365" s="26">
        <f>IF(OR($A365="",$D365=""),"",TODAY()-$D365)</f>
        <v/>
      </c>
      <c r="G365" s="26">
        <f>IF($A365="","",IF($E365=0,"Saldato","Aperto"))</f>
        <v/>
      </c>
      <c r="H365" s="24" t="n"/>
    </row>
    <row r="366" ht="15.75" customHeight="1">
      <c r="A366" s="21" t="n"/>
      <c r="B366" s="22">
        <f>IF($A366="","",IFERROR(INDEX(Clienti!$B:$B,MATCH($A366,Clienti!$A:$A,0)),"Codice non trovato"))</f>
        <v/>
      </c>
      <c r="C366" s="21" t="n"/>
      <c r="D366" s="20" t="n"/>
      <c r="E366" s="23" t="n"/>
      <c r="F366" s="26">
        <f>IF(OR($A366="",$D366=""),"",TODAY()-$D366)</f>
        <v/>
      </c>
      <c r="G366" s="26">
        <f>IF($A366="","",IF($E366=0,"Saldato","Aperto"))</f>
        <v/>
      </c>
      <c r="H366" s="24" t="n"/>
    </row>
    <row r="367" ht="15.75" customHeight="1">
      <c r="A367" s="21" t="n"/>
      <c r="B367" s="22">
        <f>IF($A367="","",IFERROR(INDEX(Clienti!$B:$B,MATCH($A367,Clienti!$A:$A,0)),"Codice non trovato"))</f>
        <v/>
      </c>
      <c r="C367" s="21" t="n"/>
      <c r="D367" s="20" t="n"/>
      <c r="E367" s="23" t="n"/>
      <c r="F367" s="26">
        <f>IF(OR($A367="",$D367=""),"",TODAY()-$D367)</f>
        <v/>
      </c>
      <c r="G367" s="26">
        <f>IF($A367="","",IF($E367=0,"Saldato","Aperto"))</f>
        <v/>
      </c>
      <c r="H367" s="24" t="n"/>
    </row>
    <row r="368" ht="15.75" customHeight="1">
      <c r="A368" s="21" t="n"/>
      <c r="B368" s="22">
        <f>IF($A368="","",IFERROR(INDEX(Clienti!$B:$B,MATCH($A368,Clienti!$A:$A,0)),"Codice non trovato"))</f>
        <v/>
      </c>
      <c r="C368" s="21" t="n"/>
      <c r="D368" s="20" t="n"/>
      <c r="E368" s="23" t="n"/>
      <c r="F368" s="26">
        <f>IF(OR($A368="",$D368=""),"",TODAY()-$D368)</f>
        <v/>
      </c>
      <c r="G368" s="26">
        <f>IF($A368="","",IF($E368=0,"Saldato","Aperto"))</f>
        <v/>
      </c>
      <c r="H368" s="24" t="n"/>
    </row>
    <row r="369" ht="15.75" customHeight="1">
      <c r="A369" s="21" t="n"/>
      <c r="B369" s="22">
        <f>IF($A369="","",IFERROR(INDEX(Clienti!$B:$B,MATCH($A369,Clienti!$A:$A,0)),"Codice non trovato"))</f>
        <v/>
      </c>
      <c r="C369" s="21" t="n"/>
      <c r="D369" s="20" t="n"/>
      <c r="E369" s="23" t="n"/>
      <c r="F369" s="26">
        <f>IF(OR($A369="",$D369=""),"",TODAY()-$D369)</f>
        <v/>
      </c>
      <c r="G369" s="26">
        <f>IF($A369="","",IF($E369=0,"Saldato","Aperto"))</f>
        <v/>
      </c>
      <c r="H369" s="24" t="n"/>
    </row>
    <row r="370" ht="15.75" customHeight="1">
      <c r="A370" s="21" t="n"/>
      <c r="B370" s="22">
        <f>IF($A370="","",IFERROR(INDEX(Clienti!$B:$B,MATCH($A370,Clienti!$A:$A,0)),"Codice non trovato"))</f>
        <v/>
      </c>
      <c r="C370" s="21" t="n"/>
      <c r="D370" s="20" t="n"/>
      <c r="E370" s="23" t="n"/>
      <c r="F370" s="26">
        <f>IF(OR($A370="",$D370=""),"",TODAY()-$D370)</f>
        <v/>
      </c>
      <c r="G370" s="26">
        <f>IF($A370="","",IF($E370=0,"Saldato","Aperto"))</f>
        <v/>
      </c>
      <c r="H370" s="24" t="n"/>
    </row>
    <row r="371" ht="15.75" customHeight="1">
      <c r="A371" s="21" t="n"/>
      <c r="B371" s="22">
        <f>IF($A371="","",IFERROR(INDEX(Clienti!$B:$B,MATCH($A371,Clienti!$A:$A,0)),"Codice non trovato"))</f>
        <v/>
      </c>
      <c r="C371" s="21" t="n"/>
      <c r="D371" s="20" t="n"/>
      <c r="E371" s="23" t="n"/>
      <c r="F371" s="26">
        <f>IF(OR($A371="",$D371=""),"",TODAY()-$D371)</f>
        <v/>
      </c>
      <c r="G371" s="26">
        <f>IF($A371="","",IF($E371=0,"Saldato","Aperto"))</f>
        <v/>
      </c>
      <c r="H371" s="24" t="n"/>
    </row>
    <row r="372" ht="15.75" customHeight="1">
      <c r="A372" s="21" t="n"/>
      <c r="B372" s="22">
        <f>IF($A372="","",IFERROR(INDEX(Clienti!$B:$B,MATCH($A372,Clienti!$A:$A,0)),"Codice non trovato"))</f>
        <v/>
      </c>
      <c r="C372" s="21" t="n"/>
      <c r="D372" s="20" t="n"/>
      <c r="E372" s="23" t="n"/>
      <c r="F372" s="26">
        <f>IF(OR($A372="",$D372=""),"",TODAY()-$D372)</f>
        <v/>
      </c>
      <c r="G372" s="26">
        <f>IF($A372="","",IF($E372=0,"Saldato","Aperto"))</f>
        <v/>
      </c>
      <c r="H372" s="24" t="n"/>
    </row>
    <row r="373" ht="15.75" customHeight="1">
      <c r="A373" s="21" t="n"/>
      <c r="B373" s="22">
        <f>IF($A373="","",IFERROR(INDEX(Clienti!$B:$B,MATCH($A373,Clienti!$A:$A,0)),"Codice non trovato"))</f>
        <v/>
      </c>
      <c r="C373" s="21" t="n"/>
      <c r="D373" s="20" t="n"/>
      <c r="E373" s="23" t="n"/>
      <c r="F373" s="26">
        <f>IF(OR($A373="",$D373=""),"",TODAY()-$D373)</f>
        <v/>
      </c>
      <c r="G373" s="26">
        <f>IF($A373="","",IF($E373=0,"Saldato","Aperto"))</f>
        <v/>
      </c>
      <c r="H373" s="24" t="n"/>
    </row>
    <row r="374" ht="15.75" customHeight="1">
      <c r="A374" s="21" t="n"/>
      <c r="B374" s="22">
        <f>IF($A374="","",IFERROR(INDEX(Clienti!$B:$B,MATCH($A374,Clienti!$A:$A,0)),"Codice non trovato"))</f>
        <v/>
      </c>
      <c r="C374" s="21" t="n"/>
      <c r="D374" s="20" t="n"/>
      <c r="E374" s="23" t="n"/>
      <c r="F374" s="26">
        <f>IF(OR($A374="",$D374=""),"",TODAY()-$D374)</f>
        <v/>
      </c>
      <c r="G374" s="26">
        <f>IF($A374="","",IF($E374=0,"Saldato","Aperto"))</f>
        <v/>
      </c>
      <c r="H374" s="24" t="n"/>
    </row>
    <row r="375" ht="15.75" customHeight="1">
      <c r="A375" s="21" t="n"/>
      <c r="B375" s="22">
        <f>IF($A375="","",IFERROR(INDEX(Clienti!$B:$B,MATCH($A375,Clienti!$A:$A,0)),"Codice non trovato"))</f>
        <v/>
      </c>
      <c r="C375" s="21" t="n"/>
      <c r="D375" s="20" t="n"/>
      <c r="E375" s="23" t="n"/>
      <c r="F375" s="26">
        <f>IF(OR($A375="",$D375=""),"",TODAY()-$D375)</f>
        <v/>
      </c>
      <c r="G375" s="26">
        <f>IF($A375="","",IF($E375=0,"Saldato","Aperto"))</f>
        <v/>
      </c>
      <c r="H375" s="24" t="n"/>
    </row>
    <row r="376" ht="15.75" customHeight="1">
      <c r="A376" s="21" t="n"/>
      <c r="B376" s="22">
        <f>IF($A376="","",IFERROR(INDEX(Clienti!$B:$B,MATCH($A376,Clienti!$A:$A,0)),"Codice non trovato"))</f>
        <v/>
      </c>
      <c r="C376" s="21" t="n"/>
      <c r="D376" s="20" t="n"/>
      <c r="E376" s="23" t="n"/>
      <c r="F376" s="26">
        <f>IF(OR($A376="",$D376=""),"",TODAY()-$D376)</f>
        <v/>
      </c>
      <c r="G376" s="26">
        <f>IF($A376="","",IF($E376=0,"Saldato","Aperto"))</f>
        <v/>
      </c>
      <c r="H376" s="24" t="n"/>
    </row>
    <row r="377" ht="15.75" customHeight="1">
      <c r="A377" s="21" t="n"/>
      <c r="B377" s="22">
        <f>IF($A377="","",IFERROR(INDEX(Clienti!$B:$B,MATCH($A377,Clienti!$A:$A,0)),"Codice non trovato"))</f>
        <v/>
      </c>
      <c r="C377" s="21" t="n"/>
      <c r="D377" s="20" t="n"/>
      <c r="E377" s="23" t="n"/>
      <c r="F377" s="26">
        <f>IF(OR($A377="",$D377=""),"",TODAY()-$D377)</f>
        <v/>
      </c>
      <c r="G377" s="26">
        <f>IF($A377="","",IF($E377=0,"Saldato","Aperto"))</f>
        <v/>
      </c>
      <c r="H377" s="24" t="n"/>
    </row>
    <row r="378" ht="15.75" customHeight="1">
      <c r="A378" s="21" t="n"/>
      <c r="B378" s="22">
        <f>IF($A378="","",IFERROR(INDEX(Clienti!$B:$B,MATCH($A378,Clienti!$A:$A,0)),"Codice non trovato"))</f>
        <v/>
      </c>
      <c r="C378" s="21" t="n"/>
      <c r="D378" s="20" t="n"/>
      <c r="E378" s="23" t="n"/>
      <c r="F378" s="26">
        <f>IF(OR($A378="",$D378=""),"",TODAY()-$D378)</f>
        <v/>
      </c>
      <c r="G378" s="26">
        <f>IF($A378="","",IF($E378=0,"Saldato","Aperto"))</f>
        <v/>
      </c>
      <c r="H378" s="24" t="n"/>
    </row>
    <row r="379" ht="15.75" customHeight="1">
      <c r="A379" s="21" t="n"/>
      <c r="B379" s="22">
        <f>IF($A379="","",IFERROR(INDEX(Clienti!$B:$B,MATCH($A379,Clienti!$A:$A,0)),"Codice non trovato"))</f>
        <v/>
      </c>
      <c r="C379" s="21" t="n"/>
      <c r="D379" s="20" t="n"/>
      <c r="E379" s="23" t="n"/>
      <c r="F379" s="26">
        <f>IF(OR($A379="",$D379=""),"",TODAY()-$D379)</f>
        <v/>
      </c>
      <c r="G379" s="26">
        <f>IF($A379="","",IF($E379=0,"Saldato","Aperto"))</f>
        <v/>
      </c>
      <c r="H379" s="24" t="n"/>
    </row>
    <row r="380" ht="15.75" customHeight="1">
      <c r="A380" s="21" t="n"/>
      <c r="B380" s="22">
        <f>IF($A380="","",IFERROR(INDEX(Clienti!$B:$B,MATCH($A380,Clienti!$A:$A,0)),"Codice non trovato"))</f>
        <v/>
      </c>
      <c r="C380" s="21" t="n"/>
      <c r="D380" s="20" t="n"/>
      <c r="E380" s="23" t="n"/>
      <c r="F380" s="26">
        <f>IF(OR($A380="",$D380=""),"",TODAY()-$D380)</f>
        <v/>
      </c>
      <c r="G380" s="26">
        <f>IF($A380="","",IF($E380=0,"Saldato","Aperto"))</f>
        <v/>
      </c>
      <c r="H380" s="24" t="n"/>
    </row>
    <row r="381" ht="15.75" customHeight="1">
      <c r="A381" s="21" t="n"/>
      <c r="B381" s="22">
        <f>IF($A381="","",IFERROR(INDEX(Clienti!$B:$B,MATCH($A381,Clienti!$A:$A,0)),"Codice non trovato"))</f>
        <v/>
      </c>
      <c r="C381" s="21" t="n"/>
      <c r="D381" s="20" t="n"/>
      <c r="E381" s="23" t="n"/>
      <c r="F381" s="26">
        <f>IF(OR($A381="",$D381=""),"",TODAY()-$D381)</f>
        <v/>
      </c>
      <c r="G381" s="26">
        <f>IF($A381="","",IF($E381=0,"Saldato","Aperto"))</f>
        <v/>
      </c>
      <c r="H381" s="24" t="n"/>
    </row>
    <row r="382" ht="15.75" customHeight="1">
      <c r="A382" s="21" t="n"/>
      <c r="B382" s="22">
        <f>IF($A382="","",IFERROR(INDEX(Clienti!$B:$B,MATCH($A382,Clienti!$A:$A,0)),"Codice non trovato"))</f>
        <v/>
      </c>
      <c r="C382" s="21" t="n"/>
      <c r="D382" s="20" t="n"/>
      <c r="E382" s="23" t="n"/>
      <c r="F382" s="26">
        <f>IF(OR($A382="",$D382=""),"",TODAY()-$D382)</f>
        <v/>
      </c>
      <c r="G382" s="26">
        <f>IF($A382="","",IF($E382=0,"Saldato","Aperto"))</f>
        <v/>
      </c>
      <c r="H382" s="24" t="n"/>
    </row>
    <row r="383" ht="15.75" customHeight="1">
      <c r="A383" s="21" t="n"/>
      <c r="B383" s="22">
        <f>IF($A383="","",IFERROR(INDEX(Clienti!$B:$B,MATCH($A383,Clienti!$A:$A,0)),"Codice non trovato"))</f>
        <v/>
      </c>
      <c r="C383" s="21" t="n"/>
      <c r="D383" s="20" t="n"/>
      <c r="E383" s="23" t="n"/>
      <c r="F383" s="26">
        <f>IF(OR($A383="",$D383=""),"",TODAY()-$D383)</f>
        <v/>
      </c>
      <c r="G383" s="26">
        <f>IF($A383="","",IF($E383=0,"Saldato","Aperto"))</f>
        <v/>
      </c>
      <c r="H383" s="24" t="n"/>
    </row>
    <row r="384" ht="15.75" customHeight="1">
      <c r="A384" s="21" t="n"/>
      <c r="B384" s="22">
        <f>IF($A384="","",IFERROR(INDEX(Clienti!$B:$B,MATCH($A384,Clienti!$A:$A,0)),"Codice non trovato"))</f>
        <v/>
      </c>
      <c r="C384" s="21" t="n"/>
      <c r="D384" s="20" t="n"/>
      <c r="E384" s="23" t="n"/>
      <c r="F384" s="26">
        <f>IF(OR($A384="",$D384=""),"",TODAY()-$D384)</f>
        <v/>
      </c>
      <c r="G384" s="26">
        <f>IF($A384="","",IF($E384=0,"Saldato","Aperto"))</f>
        <v/>
      </c>
      <c r="H384" s="24" t="n"/>
    </row>
    <row r="385" ht="15.75" customHeight="1">
      <c r="A385" s="21" t="n"/>
      <c r="B385" s="22">
        <f>IF($A385="","",IFERROR(INDEX(Clienti!$B:$B,MATCH($A385,Clienti!$A:$A,0)),"Codice non trovato"))</f>
        <v/>
      </c>
      <c r="C385" s="21" t="n"/>
      <c r="D385" s="20" t="n"/>
      <c r="E385" s="23" t="n"/>
      <c r="F385" s="26">
        <f>IF(OR($A385="",$D385=""),"",TODAY()-$D385)</f>
        <v/>
      </c>
      <c r="G385" s="26">
        <f>IF($A385="","",IF($E385=0,"Saldato","Aperto"))</f>
        <v/>
      </c>
      <c r="H385" s="24" t="n"/>
    </row>
    <row r="386" ht="15.75" customHeight="1">
      <c r="A386" s="21" t="n"/>
      <c r="B386" s="22">
        <f>IF($A386="","",IFERROR(INDEX(Clienti!$B:$B,MATCH($A386,Clienti!$A:$A,0)),"Codice non trovato"))</f>
        <v/>
      </c>
      <c r="C386" s="21" t="n"/>
      <c r="D386" s="20" t="n"/>
      <c r="E386" s="23" t="n"/>
      <c r="F386" s="26">
        <f>IF(OR($A386="",$D386=""),"",TODAY()-$D386)</f>
        <v/>
      </c>
      <c r="G386" s="26">
        <f>IF($A386="","",IF($E386=0,"Saldato","Aperto"))</f>
        <v/>
      </c>
      <c r="H386" s="24" t="n"/>
    </row>
    <row r="387" ht="15.75" customHeight="1">
      <c r="A387" s="21" t="n"/>
      <c r="B387" s="22">
        <f>IF($A387="","",IFERROR(INDEX(Clienti!$B:$B,MATCH($A387,Clienti!$A:$A,0)),"Codice non trovato"))</f>
        <v/>
      </c>
      <c r="C387" s="21" t="n"/>
      <c r="D387" s="20" t="n"/>
      <c r="E387" s="23" t="n"/>
      <c r="F387" s="26">
        <f>IF(OR($A387="",$D387=""),"",TODAY()-$D387)</f>
        <v/>
      </c>
      <c r="G387" s="26">
        <f>IF($A387="","",IF($E387=0,"Saldato","Aperto"))</f>
        <v/>
      </c>
      <c r="H387" s="24" t="n"/>
    </row>
    <row r="388" ht="15.75" customHeight="1">
      <c r="A388" s="21" t="n"/>
      <c r="B388" s="22">
        <f>IF($A388="","",IFERROR(INDEX(Clienti!$B:$B,MATCH($A388,Clienti!$A:$A,0)),"Codice non trovato"))</f>
        <v/>
      </c>
      <c r="C388" s="21" t="n"/>
      <c r="D388" s="20" t="n"/>
      <c r="E388" s="23" t="n"/>
      <c r="F388" s="26">
        <f>IF(OR($A388="",$D388=""),"",TODAY()-$D388)</f>
        <v/>
      </c>
      <c r="G388" s="26">
        <f>IF($A388="","",IF($E388=0,"Saldato","Aperto"))</f>
        <v/>
      </c>
      <c r="H388" s="24" t="n"/>
    </row>
    <row r="389" ht="15.75" customHeight="1">
      <c r="A389" s="21" t="n"/>
      <c r="B389" s="22">
        <f>IF($A389="","",IFERROR(INDEX(Clienti!$B:$B,MATCH($A389,Clienti!$A:$A,0)),"Codice non trovato"))</f>
        <v/>
      </c>
      <c r="C389" s="21" t="n"/>
      <c r="D389" s="20" t="n"/>
      <c r="E389" s="23" t="n"/>
      <c r="F389" s="26">
        <f>IF(OR($A389="",$D389=""),"",TODAY()-$D389)</f>
        <v/>
      </c>
      <c r="G389" s="26">
        <f>IF($A389="","",IF($E389=0,"Saldato","Aperto"))</f>
        <v/>
      </c>
      <c r="H389" s="24" t="n"/>
    </row>
    <row r="390" ht="15.75" customHeight="1">
      <c r="A390" s="21" t="n"/>
      <c r="B390" s="22">
        <f>IF($A390="","",IFERROR(INDEX(Clienti!$B:$B,MATCH($A390,Clienti!$A:$A,0)),"Codice non trovato"))</f>
        <v/>
      </c>
      <c r="C390" s="21" t="n"/>
      <c r="D390" s="20" t="n"/>
      <c r="E390" s="23" t="n"/>
      <c r="F390" s="26">
        <f>IF(OR($A390="",$D390=""),"",TODAY()-$D390)</f>
        <v/>
      </c>
      <c r="G390" s="26">
        <f>IF($A390="","",IF($E390=0,"Saldato","Aperto"))</f>
        <v/>
      </c>
      <c r="H390" s="24" t="n"/>
    </row>
    <row r="391" ht="15.75" customHeight="1">
      <c r="A391" s="21" t="n"/>
      <c r="B391" s="22">
        <f>IF($A391="","",IFERROR(INDEX(Clienti!$B:$B,MATCH($A391,Clienti!$A:$A,0)),"Codice non trovato"))</f>
        <v/>
      </c>
      <c r="C391" s="21" t="n"/>
      <c r="D391" s="20" t="n"/>
      <c r="E391" s="23" t="n"/>
      <c r="F391" s="26">
        <f>IF(OR($A391="",$D391=""),"",TODAY()-$D391)</f>
        <v/>
      </c>
      <c r="G391" s="26">
        <f>IF($A391="","",IF($E391=0,"Saldato","Aperto"))</f>
        <v/>
      </c>
      <c r="H391" s="24" t="n"/>
    </row>
    <row r="392" ht="15.75" customHeight="1">
      <c r="A392" s="21" t="n"/>
      <c r="B392" s="22">
        <f>IF($A392="","",IFERROR(INDEX(Clienti!$B:$B,MATCH($A392,Clienti!$A:$A,0)),"Codice non trovato"))</f>
        <v/>
      </c>
      <c r="C392" s="21" t="n"/>
      <c r="D392" s="20" t="n"/>
      <c r="E392" s="23" t="n"/>
      <c r="F392" s="26">
        <f>IF(OR($A392="",$D392=""),"",TODAY()-$D392)</f>
        <v/>
      </c>
      <c r="G392" s="26">
        <f>IF($A392="","",IF($E392=0,"Saldato","Aperto"))</f>
        <v/>
      </c>
      <c r="H392" s="24" t="n"/>
    </row>
    <row r="393" ht="15.75" customHeight="1">
      <c r="A393" s="21" t="n"/>
      <c r="B393" s="22">
        <f>IF($A393="","",IFERROR(INDEX(Clienti!$B:$B,MATCH($A393,Clienti!$A:$A,0)),"Codice non trovato"))</f>
        <v/>
      </c>
      <c r="C393" s="21" t="n"/>
      <c r="D393" s="20" t="n"/>
      <c r="E393" s="23" t="n"/>
      <c r="F393" s="26">
        <f>IF(OR($A393="",$D393=""),"",TODAY()-$D393)</f>
        <v/>
      </c>
      <c r="G393" s="26">
        <f>IF($A393="","",IF($E393=0,"Saldato","Aperto"))</f>
        <v/>
      </c>
      <c r="H393" s="24" t="n"/>
    </row>
    <row r="394" ht="15.75" customHeight="1">
      <c r="A394" s="21" t="n"/>
      <c r="B394" s="22">
        <f>IF($A394="","",IFERROR(INDEX(Clienti!$B:$B,MATCH($A394,Clienti!$A:$A,0)),"Codice non trovato"))</f>
        <v/>
      </c>
      <c r="C394" s="21" t="n"/>
      <c r="D394" s="20" t="n"/>
      <c r="E394" s="23" t="n"/>
      <c r="F394" s="26">
        <f>IF(OR($A394="",$D394=""),"",TODAY()-$D394)</f>
        <v/>
      </c>
      <c r="G394" s="26">
        <f>IF($A394="","",IF($E394=0,"Saldato","Aperto"))</f>
        <v/>
      </c>
      <c r="H394" s="24" t="n"/>
    </row>
    <row r="395" ht="15.75" customHeight="1">
      <c r="A395" s="21" t="n"/>
      <c r="B395" s="22">
        <f>IF($A395="","",IFERROR(INDEX(Clienti!$B:$B,MATCH($A395,Clienti!$A:$A,0)),"Codice non trovato"))</f>
        <v/>
      </c>
      <c r="C395" s="21" t="n"/>
      <c r="D395" s="20" t="n"/>
      <c r="E395" s="23" t="n"/>
      <c r="F395" s="26">
        <f>IF(OR($A395="",$D395=""),"",TODAY()-$D395)</f>
        <v/>
      </c>
      <c r="G395" s="26">
        <f>IF($A395="","",IF($E395=0,"Saldato","Aperto"))</f>
        <v/>
      </c>
      <c r="H395" s="24" t="n"/>
    </row>
    <row r="396" ht="15.75" customHeight="1">
      <c r="A396" s="21" t="n"/>
      <c r="B396" s="22">
        <f>IF($A396="","",IFERROR(INDEX(Clienti!$B:$B,MATCH($A396,Clienti!$A:$A,0)),"Codice non trovato"))</f>
        <v/>
      </c>
      <c r="C396" s="21" t="n"/>
      <c r="D396" s="20" t="n"/>
      <c r="E396" s="23" t="n"/>
      <c r="F396" s="26">
        <f>IF(OR($A396="",$D396=""),"",TODAY()-$D396)</f>
        <v/>
      </c>
      <c r="G396" s="26">
        <f>IF($A396="","",IF($E396=0,"Saldato","Aperto"))</f>
        <v/>
      </c>
      <c r="H396" s="24" t="n"/>
    </row>
    <row r="397" ht="15.75" customHeight="1">
      <c r="A397" s="21" t="n"/>
      <c r="B397" s="22">
        <f>IF($A397="","",IFERROR(INDEX(Clienti!$B:$B,MATCH($A397,Clienti!$A:$A,0)),"Codice non trovato"))</f>
        <v/>
      </c>
      <c r="C397" s="21" t="n"/>
      <c r="D397" s="20" t="n"/>
      <c r="E397" s="23" t="n"/>
      <c r="F397" s="26">
        <f>IF(OR($A397="",$D397=""),"",TODAY()-$D397)</f>
        <v/>
      </c>
      <c r="G397" s="26">
        <f>IF($A397="","",IF($E397=0,"Saldato","Aperto"))</f>
        <v/>
      </c>
      <c r="H397" s="24" t="n"/>
    </row>
    <row r="398" ht="15.75" customHeight="1">
      <c r="A398" s="21" t="n"/>
      <c r="B398" s="22">
        <f>IF($A398="","",IFERROR(INDEX(Clienti!$B:$B,MATCH($A398,Clienti!$A:$A,0)),"Codice non trovato"))</f>
        <v/>
      </c>
      <c r="C398" s="21" t="n"/>
      <c r="D398" s="20" t="n"/>
      <c r="E398" s="23" t="n"/>
      <c r="F398" s="26">
        <f>IF(OR($A398="",$D398=""),"",TODAY()-$D398)</f>
        <v/>
      </c>
      <c r="G398" s="26">
        <f>IF($A398="","",IF($E398=0,"Saldato","Aperto"))</f>
        <v/>
      </c>
      <c r="H398" s="24" t="n"/>
    </row>
    <row r="399" ht="15.75" customHeight="1">
      <c r="A399" s="21" t="n"/>
      <c r="B399" s="22">
        <f>IF($A399="","",IFERROR(INDEX(Clienti!$B:$B,MATCH($A399,Clienti!$A:$A,0)),"Codice non trovato"))</f>
        <v/>
      </c>
      <c r="C399" s="21" t="n"/>
      <c r="D399" s="20" t="n"/>
      <c r="E399" s="23" t="n"/>
      <c r="F399" s="26">
        <f>IF(OR($A399="",$D399=""),"",TODAY()-$D399)</f>
        <v/>
      </c>
      <c r="G399" s="26">
        <f>IF($A399="","",IF($E399=0,"Saldato","Aperto"))</f>
        <v/>
      </c>
      <c r="H399" s="24" t="n"/>
    </row>
    <row r="400" ht="15.75" customHeight="1">
      <c r="A400" s="21" t="n"/>
      <c r="B400" s="22">
        <f>IF($A400="","",IFERROR(INDEX(Clienti!$B:$B,MATCH($A400,Clienti!$A:$A,0)),"Codice non trovato"))</f>
        <v/>
      </c>
      <c r="C400" s="21" t="n"/>
      <c r="D400" s="20" t="n"/>
      <c r="E400" s="23" t="n"/>
      <c r="F400" s="26">
        <f>IF(OR($A400="",$D400=""),"",TODAY()-$D400)</f>
        <v/>
      </c>
      <c r="G400" s="26">
        <f>IF($A400="","",IF($E400=0,"Saldato","Aperto"))</f>
        <v/>
      </c>
      <c r="H400" s="24" t="n"/>
    </row>
    <row r="401" ht="15.75" customHeight="1">
      <c r="A401" s="21" t="n"/>
      <c r="B401" s="22">
        <f>IF($A401="","",IFERROR(INDEX(Clienti!$B:$B,MATCH($A401,Clienti!$A:$A,0)),"Codice non trovato"))</f>
        <v/>
      </c>
      <c r="C401" s="21" t="n"/>
      <c r="D401" s="20" t="n"/>
      <c r="E401" s="23" t="n"/>
      <c r="F401" s="26">
        <f>IF(OR($A401="",$D401=""),"",TODAY()-$D401)</f>
        <v/>
      </c>
      <c r="G401" s="26">
        <f>IF($A401="","",IF($E401=0,"Saldato","Aperto"))</f>
        <v/>
      </c>
      <c r="H401" s="24" t="n"/>
    </row>
    <row r="402" ht="15.75" customHeight="1">
      <c r="A402" s="21" t="n"/>
      <c r="B402" s="22">
        <f>IF($A402="","",IFERROR(INDEX(Clienti!$B:$B,MATCH($A402,Clienti!$A:$A,0)),"Codice non trovato"))</f>
        <v/>
      </c>
      <c r="C402" s="21" t="n"/>
      <c r="D402" s="20" t="n"/>
      <c r="E402" s="23" t="n"/>
      <c r="F402" s="26">
        <f>IF(OR($A402="",$D402=""),"",TODAY()-$D402)</f>
        <v/>
      </c>
      <c r="G402" s="26">
        <f>IF($A402="","",IF($E402=0,"Saldato","Aperto"))</f>
        <v/>
      </c>
      <c r="H402" s="24" t="n"/>
    </row>
    <row r="403" ht="15.75" customHeight="1">
      <c r="A403" s="21" t="n"/>
      <c r="B403" s="22">
        <f>IF($A403="","",IFERROR(INDEX(Clienti!$B:$B,MATCH($A403,Clienti!$A:$A,0)),"Codice non trovato"))</f>
        <v/>
      </c>
      <c r="C403" s="21" t="n"/>
      <c r="D403" s="20" t="n"/>
      <c r="E403" s="23" t="n"/>
      <c r="F403" s="26">
        <f>IF(OR($A403="",$D403=""),"",TODAY()-$D403)</f>
        <v/>
      </c>
      <c r="G403" s="26">
        <f>IF($A403="","",IF($E403=0,"Saldato","Aperto"))</f>
        <v/>
      </c>
      <c r="H403" s="24" t="n"/>
    </row>
    <row r="404" ht="15.75" customHeight="1">
      <c r="A404" s="21" t="n"/>
      <c r="B404" s="22">
        <f>IF($A404="","",IFERROR(INDEX(Clienti!$B:$B,MATCH($A404,Clienti!$A:$A,0)),"Codice non trovato"))</f>
        <v/>
      </c>
      <c r="C404" s="21" t="n"/>
      <c r="D404" s="20" t="n"/>
      <c r="E404" s="23" t="n"/>
      <c r="F404" s="26">
        <f>IF(OR($A404="",$D404=""),"",TODAY()-$D404)</f>
        <v/>
      </c>
      <c r="G404" s="26">
        <f>IF($A404="","",IF($E404=0,"Saldato","Aperto"))</f>
        <v/>
      </c>
      <c r="H404" s="24" t="n"/>
    </row>
    <row r="405" ht="15.75" customHeight="1">
      <c r="A405" s="21" t="n"/>
      <c r="B405" s="22">
        <f>IF($A405="","",IFERROR(INDEX(Clienti!$B:$B,MATCH($A405,Clienti!$A:$A,0)),"Codice non trovato"))</f>
        <v/>
      </c>
      <c r="C405" s="21" t="n"/>
      <c r="D405" s="20" t="n"/>
      <c r="E405" s="23" t="n"/>
      <c r="F405" s="26">
        <f>IF(OR($A405="",$D405=""),"",TODAY()-$D405)</f>
        <v/>
      </c>
      <c r="G405" s="26">
        <f>IF($A405="","",IF($E405=0,"Saldato","Aperto"))</f>
        <v/>
      </c>
      <c r="H405" s="24" t="n"/>
    </row>
    <row r="406" ht="15.75" customHeight="1">
      <c r="A406" s="21" t="n"/>
      <c r="B406" s="22">
        <f>IF($A406="","",IFERROR(INDEX(Clienti!$B:$B,MATCH($A406,Clienti!$A:$A,0)),"Codice non trovato"))</f>
        <v/>
      </c>
      <c r="C406" s="21" t="n"/>
      <c r="D406" s="20" t="n"/>
      <c r="E406" s="23" t="n"/>
      <c r="F406" s="26">
        <f>IF(OR($A406="",$D406=""),"",TODAY()-$D406)</f>
        <v/>
      </c>
      <c r="G406" s="26">
        <f>IF($A406="","",IF($E406=0,"Saldato","Aperto"))</f>
        <v/>
      </c>
      <c r="H406" s="24" t="n"/>
    </row>
    <row r="407" ht="15.75" customHeight="1">
      <c r="A407" s="21" t="n"/>
      <c r="B407" s="22">
        <f>IF($A407="","",IFERROR(INDEX(Clienti!$B:$B,MATCH($A407,Clienti!$A:$A,0)),"Codice non trovato"))</f>
        <v/>
      </c>
      <c r="C407" s="21" t="n"/>
      <c r="D407" s="20" t="n"/>
      <c r="E407" s="23" t="n"/>
      <c r="F407" s="26">
        <f>IF(OR($A407="",$D407=""),"",TODAY()-$D407)</f>
        <v/>
      </c>
      <c r="G407" s="26">
        <f>IF($A407="","",IF($E407=0,"Saldato","Aperto"))</f>
        <v/>
      </c>
      <c r="H407" s="24" t="n"/>
    </row>
    <row r="408" ht="15.75" customHeight="1">
      <c r="A408" s="21" t="n"/>
      <c r="B408" s="22">
        <f>IF($A408="","",IFERROR(INDEX(Clienti!$B:$B,MATCH($A408,Clienti!$A:$A,0)),"Codice non trovato"))</f>
        <v/>
      </c>
      <c r="C408" s="21" t="n"/>
      <c r="D408" s="20" t="n"/>
      <c r="E408" s="23" t="n"/>
      <c r="F408" s="26">
        <f>IF(OR($A408="",$D408=""),"",TODAY()-$D408)</f>
        <v/>
      </c>
      <c r="G408" s="26">
        <f>IF($A408="","",IF($E408=0,"Saldato","Aperto"))</f>
        <v/>
      </c>
      <c r="H408" s="24" t="n"/>
    </row>
    <row r="409" ht="15.75" customHeight="1">
      <c r="A409" s="21" t="n"/>
      <c r="B409" s="22">
        <f>IF($A409="","",IFERROR(INDEX(Clienti!$B:$B,MATCH($A409,Clienti!$A:$A,0)),"Codice non trovato"))</f>
        <v/>
      </c>
      <c r="C409" s="21" t="n"/>
      <c r="D409" s="20" t="n"/>
      <c r="E409" s="23" t="n"/>
      <c r="F409" s="26">
        <f>IF(OR($A409="",$D409=""),"",TODAY()-$D409)</f>
        <v/>
      </c>
      <c r="G409" s="26">
        <f>IF($A409="","",IF($E409=0,"Saldato","Aperto"))</f>
        <v/>
      </c>
      <c r="H409" s="24" t="n"/>
    </row>
    <row r="410" ht="15.75" customHeight="1">
      <c r="A410" s="21" t="n"/>
      <c r="B410" s="22">
        <f>IF($A410="","",IFERROR(INDEX(Clienti!$B:$B,MATCH($A410,Clienti!$A:$A,0)),"Codice non trovato"))</f>
        <v/>
      </c>
      <c r="C410" s="21" t="n"/>
      <c r="D410" s="20" t="n"/>
      <c r="E410" s="23" t="n"/>
      <c r="F410" s="26">
        <f>IF(OR($A410="",$D410=""),"",TODAY()-$D410)</f>
        <v/>
      </c>
      <c r="G410" s="26">
        <f>IF($A410="","",IF($E410=0,"Saldato","Aperto"))</f>
        <v/>
      </c>
      <c r="H410" s="24" t="n"/>
    </row>
    <row r="411" ht="15.75" customHeight="1">
      <c r="A411" s="21" t="n"/>
      <c r="B411" s="22">
        <f>IF($A411="","",IFERROR(INDEX(Clienti!$B:$B,MATCH($A411,Clienti!$A:$A,0)),"Codice non trovato"))</f>
        <v/>
      </c>
      <c r="C411" s="21" t="n"/>
      <c r="D411" s="20" t="n"/>
      <c r="E411" s="23" t="n"/>
      <c r="F411" s="26">
        <f>IF(OR($A411="",$D411=""),"",TODAY()-$D411)</f>
        <v/>
      </c>
      <c r="G411" s="26">
        <f>IF($A411="","",IF($E411=0,"Saldato","Aperto"))</f>
        <v/>
      </c>
      <c r="H411" s="24" t="n"/>
    </row>
    <row r="412" ht="15.75" customHeight="1">
      <c r="A412" s="21" t="n"/>
      <c r="B412" s="22">
        <f>IF($A412="","",IFERROR(INDEX(Clienti!$B:$B,MATCH($A412,Clienti!$A:$A,0)),"Codice non trovato"))</f>
        <v/>
      </c>
      <c r="C412" s="21" t="n"/>
      <c r="D412" s="20" t="n"/>
      <c r="E412" s="23" t="n"/>
      <c r="F412" s="26">
        <f>IF(OR($A412="",$D412=""),"",TODAY()-$D412)</f>
        <v/>
      </c>
      <c r="G412" s="26">
        <f>IF($A412="","",IF($E412=0,"Saldato","Aperto"))</f>
        <v/>
      </c>
      <c r="H412" s="24" t="n"/>
    </row>
    <row r="413" ht="15.75" customHeight="1">
      <c r="A413" s="21" t="n"/>
      <c r="B413" s="22">
        <f>IF($A413="","",IFERROR(INDEX(Clienti!$B:$B,MATCH($A413,Clienti!$A:$A,0)),"Codice non trovato"))</f>
        <v/>
      </c>
      <c r="C413" s="21" t="n"/>
      <c r="D413" s="20" t="n"/>
      <c r="E413" s="23" t="n"/>
      <c r="F413" s="26">
        <f>IF(OR($A413="",$D413=""),"",TODAY()-$D413)</f>
        <v/>
      </c>
      <c r="G413" s="26">
        <f>IF($A413="","",IF($E413=0,"Saldato","Aperto"))</f>
        <v/>
      </c>
      <c r="H413" s="24" t="n"/>
    </row>
    <row r="414" ht="15.75" customHeight="1">
      <c r="A414" s="21" t="n"/>
      <c r="B414" s="22">
        <f>IF($A414="","",IFERROR(INDEX(Clienti!$B:$B,MATCH($A414,Clienti!$A:$A,0)),"Codice non trovato"))</f>
        <v/>
      </c>
      <c r="C414" s="21" t="n"/>
      <c r="D414" s="20" t="n"/>
      <c r="E414" s="23" t="n"/>
      <c r="F414" s="26">
        <f>IF(OR($A414="",$D414=""),"",TODAY()-$D414)</f>
        <v/>
      </c>
      <c r="G414" s="26">
        <f>IF($A414="","",IF($E414=0,"Saldato","Aperto"))</f>
        <v/>
      </c>
      <c r="H414" s="24" t="n"/>
    </row>
    <row r="415" ht="15.75" customHeight="1">
      <c r="A415" s="21" t="n"/>
      <c r="B415" s="22">
        <f>IF($A415="","",IFERROR(INDEX(Clienti!$B:$B,MATCH($A415,Clienti!$A:$A,0)),"Codice non trovato"))</f>
        <v/>
      </c>
      <c r="C415" s="21" t="n"/>
      <c r="D415" s="20" t="n"/>
      <c r="E415" s="23" t="n"/>
      <c r="F415" s="26">
        <f>IF(OR($A415="",$D415=""),"",TODAY()-$D415)</f>
        <v/>
      </c>
      <c r="G415" s="26">
        <f>IF($A415="","",IF($E415=0,"Saldato","Aperto"))</f>
        <v/>
      </c>
      <c r="H415" s="24" t="n"/>
    </row>
    <row r="416" ht="15.75" customHeight="1">
      <c r="A416" s="21" t="n"/>
      <c r="B416" s="22">
        <f>IF($A416="","",IFERROR(INDEX(Clienti!$B:$B,MATCH($A416,Clienti!$A:$A,0)),"Codice non trovato"))</f>
        <v/>
      </c>
      <c r="C416" s="21" t="n"/>
      <c r="D416" s="20" t="n"/>
      <c r="E416" s="23" t="n"/>
      <c r="F416" s="26">
        <f>IF(OR($A416="",$D416=""),"",TODAY()-$D416)</f>
        <v/>
      </c>
      <c r="G416" s="26">
        <f>IF($A416="","",IF($E416=0,"Saldato","Aperto"))</f>
        <v/>
      </c>
      <c r="H416" s="24" t="n"/>
    </row>
    <row r="417" ht="15.75" customHeight="1">
      <c r="A417" s="21" t="n"/>
      <c r="B417" s="22">
        <f>IF($A417="","",IFERROR(INDEX(Clienti!$B:$B,MATCH($A417,Clienti!$A:$A,0)),"Codice non trovato"))</f>
        <v/>
      </c>
      <c r="C417" s="21" t="n"/>
      <c r="D417" s="20" t="n"/>
      <c r="E417" s="23" t="n"/>
      <c r="F417" s="26">
        <f>IF(OR($A417="",$D417=""),"",TODAY()-$D417)</f>
        <v/>
      </c>
      <c r="G417" s="26">
        <f>IF($A417="","",IF($E417=0,"Saldato","Aperto"))</f>
        <v/>
      </c>
      <c r="H417" s="24" t="n"/>
    </row>
    <row r="418" ht="15.75" customHeight="1">
      <c r="A418" s="21" t="n"/>
      <c r="B418" s="22">
        <f>IF($A418="","",IFERROR(INDEX(Clienti!$B:$B,MATCH($A418,Clienti!$A:$A,0)),"Codice non trovato"))</f>
        <v/>
      </c>
      <c r="C418" s="21" t="n"/>
      <c r="D418" s="20" t="n"/>
      <c r="E418" s="23" t="n"/>
      <c r="F418" s="26">
        <f>IF(OR($A418="",$D418=""),"",TODAY()-$D418)</f>
        <v/>
      </c>
      <c r="G418" s="26">
        <f>IF($A418="","",IF($E418=0,"Saldato","Aperto"))</f>
        <v/>
      </c>
      <c r="H418" s="24" t="n"/>
    </row>
    <row r="419" ht="15.75" customHeight="1">
      <c r="A419" s="21" t="n"/>
      <c r="B419" s="22">
        <f>IF($A419="","",IFERROR(INDEX(Clienti!$B:$B,MATCH($A419,Clienti!$A:$A,0)),"Codice non trovato"))</f>
        <v/>
      </c>
      <c r="C419" s="21" t="n"/>
      <c r="D419" s="20" t="n"/>
      <c r="E419" s="23" t="n"/>
      <c r="F419" s="26">
        <f>IF(OR($A419="",$D419=""),"",TODAY()-$D419)</f>
        <v/>
      </c>
      <c r="G419" s="26">
        <f>IF($A419="","",IF($E419=0,"Saldato","Aperto"))</f>
        <v/>
      </c>
      <c r="H419" s="24" t="n"/>
    </row>
    <row r="420" ht="15.75" customHeight="1">
      <c r="A420" s="21" t="n"/>
      <c r="B420" s="22">
        <f>IF($A420="","",IFERROR(INDEX(Clienti!$B:$B,MATCH($A420,Clienti!$A:$A,0)),"Codice non trovato"))</f>
        <v/>
      </c>
      <c r="C420" s="21" t="n"/>
      <c r="D420" s="20" t="n"/>
      <c r="E420" s="23" t="n"/>
      <c r="F420" s="26">
        <f>IF(OR($A420="",$D420=""),"",TODAY()-$D420)</f>
        <v/>
      </c>
      <c r="G420" s="26">
        <f>IF($A420="","",IF($E420=0,"Saldato","Aperto"))</f>
        <v/>
      </c>
      <c r="H420" s="24" t="n"/>
    </row>
    <row r="421" ht="15.75" customHeight="1">
      <c r="A421" s="21" t="n"/>
      <c r="B421" s="22">
        <f>IF($A421="","",IFERROR(INDEX(Clienti!$B:$B,MATCH($A421,Clienti!$A:$A,0)),"Codice non trovato"))</f>
        <v/>
      </c>
      <c r="C421" s="21" t="n"/>
      <c r="D421" s="20" t="n"/>
      <c r="E421" s="23" t="n"/>
      <c r="F421" s="26">
        <f>IF(OR($A421="",$D421=""),"",TODAY()-$D421)</f>
        <v/>
      </c>
      <c r="G421" s="26">
        <f>IF($A421="","",IF($E421=0,"Saldato","Aperto"))</f>
        <v/>
      </c>
      <c r="H421" s="24" t="n"/>
    </row>
    <row r="422" ht="15.75" customHeight="1">
      <c r="A422" s="21" t="n"/>
      <c r="B422" s="22">
        <f>IF($A422="","",IFERROR(INDEX(Clienti!$B:$B,MATCH($A422,Clienti!$A:$A,0)),"Codice non trovato"))</f>
        <v/>
      </c>
      <c r="C422" s="21" t="n"/>
      <c r="D422" s="20" t="n"/>
      <c r="E422" s="23" t="n"/>
      <c r="F422" s="26">
        <f>IF(OR($A422="",$D422=""),"",TODAY()-$D422)</f>
        <v/>
      </c>
      <c r="G422" s="26">
        <f>IF($A422="","",IF($E422=0,"Saldato","Aperto"))</f>
        <v/>
      </c>
      <c r="H422" s="24" t="n"/>
    </row>
    <row r="423" ht="15.75" customHeight="1">
      <c r="A423" s="21" t="n"/>
      <c r="B423" s="22">
        <f>IF($A423="","",IFERROR(INDEX(Clienti!$B:$B,MATCH($A423,Clienti!$A:$A,0)),"Codice non trovato"))</f>
        <v/>
      </c>
      <c r="C423" s="21" t="n"/>
      <c r="D423" s="20" t="n"/>
      <c r="E423" s="23" t="n"/>
      <c r="F423" s="26">
        <f>IF(OR($A423="",$D423=""),"",TODAY()-$D423)</f>
        <v/>
      </c>
      <c r="G423" s="26">
        <f>IF($A423="","",IF($E423=0,"Saldato","Aperto"))</f>
        <v/>
      </c>
      <c r="H423" s="24" t="n"/>
    </row>
    <row r="424" ht="15.75" customHeight="1">
      <c r="A424" s="21" t="n"/>
      <c r="B424" s="22">
        <f>IF($A424="","",IFERROR(INDEX(Clienti!$B:$B,MATCH($A424,Clienti!$A:$A,0)),"Codice non trovato"))</f>
        <v/>
      </c>
      <c r="C424" s="21" t="n"/>
      <c r="D424" s="20" t="n"/>
      <c r="E424" s="23" t="n"/>
      <c r="F424" s="26">
        <f>IF(OR($A424="",$D424=""),"",TODAY()-$D424)</f>
        <v/>
      </c>
      <c r="G424" s="26">
        <f>IF($A424="","",IF($E424=0,"Saldato","Aperto"))</f>
        <v/>
      </c>
      <c r="H424" s="24" t="n"/>
    </row>
    <row r="425" ht="15.75" customHeight="1">
      <c r="A425" s="21" t="n"/>
      <c r="B425" s="22">
        <f>IF($A425="","",IFERROR(INDEX(Clienti!$B:$B,MATCH($A425,Clienti!$A:$A,0)),"Codice non trovato"))</f>
        <v/>
      </c>
      <c r="C425" s="21" t="n"/>
      <c r="D425" s="20" t="n"/>
      <c r="E425" s="23" t="n"/>
      <c r="F425" s="26">
        <f>IF(OR($A425="",$D425=""),"",TODAY()-$D425)</f>
        <v/>
      </c>
      <c r="G425" s="26">
        <f>IF($A425="","",IF($E425=0,"Saldato","Aperto"))</f>
        <v/>
      </c>
      <c r="H425" s="24" t="n"/>
    </row>
    <row r="426" ht="15.75" customHeight="1">
      <c r="A426" s="21" t="n"/>
      <c r="B426" s="22">
        <f>IF($A426="","",IFERROR(INDEX(Clienti!$B:$B,MATCH($A426,Clienti!$A:$A,0)),"Codice non trovato"))</f>
        <v/>
      </c>
      <c r="C426" s="21" t="n"/>
      <c r="D426" s="20" t="n"/>
      <c r="E426" s="23" t="n"/>
      <c r="F426" s="26">
        <f>IF(OR($A426="",$D426=""),"",TODAY()-$D426)</f>
        <v/>
      </c>
      <c r="G426" s="26">
        <f>IF($A426="","",IF($E426=0,"Saldato","Aperto"))</f>
        <v/>
      </c>
      <c r="H426" s="24" t="n"/>
    </row>
    <row r="427" ht="15.75" customHeight="1">
      <c r="A427" s="21" t="n"/>
      <c r="B427" s="22">
        <f>IF($A427="","",IFERROR(INDEX(Clienti!$B:$B,MATCH($A427,Clienti!$A:$A,0)),"Codice non trovato"))</f>
        <v/>
      </c>
      <c r="C427" s="21" t="n"/>
      <c r="D427" s="20" t="n"/>
      <c r="E427" s="23" t="n"/>
      <c r="F427" s="26">
        <f>IF(OR($A427="",$D427=""),"",TODAY()-$D427)</f>
        <v/>
      </c>
      <c r="G427" s="26">
        <f>IF($A427="","",IF($E427=0,"Saldato","Aperto"))</f>
        <v/>
      </c>
      <c r="H427" s="24" t="n"/>
    </row>
    <row r="428" ht="15.75" customHeight="1">
      <c r="A428" s="21" t="n"/>
      <c r="B428" s="22">
        <f>IF($A428="","",IFERROR(INDEX(Clienti!$B:$B,MATCH($A428,Clienti!$A:$A,0)),"Codice non trovato"))</f>
        <v/>
      </c>
      <c r="C428" s="21" t="n"/>
      <c r="D428" s="20" t="n"/>
      <c r="E428" s="23" t="n"/>
      <c r="F428" s="26">
        <f>IF(OR($A428="",$D428=""),"",TODAY()-$D428)</f>
        <v/>
      </c>
      <c r="G428" s="26">
        <f>IF($A428="","",IF($E428=0,"Saldato","Aperto"))</f>
        <v/>
      </c>
      <c r="H428" s="24" t="n"/>
    </row>
    <row r="429" ht="15.75" customHeight="1">
      <c r="A429" s="21" t="n"/>
      <c r="B429" s="22">
        <f>IF($A429="","",IFERROR(INDEX(Clienti!$B:$B,MATCH($A429,Clienti!$A:$A,0)),"Codice non trovato"))</f>
        <v/>
      </c>
      <c r="C429" s="21" t="n"/>
      <c r="D429" s="20" t="n"/>
      <c r="E429" s="23" t="n"/>
      <c r="F429" s="26">
        <f>IF(OR($A429="",$D429=""),"",TODAY()-$D429)</f>
        <v/>
      </c>
      <c r="G429" s="26">
        <f>IF($A429="","",IF($E429=0,"Saldato","Aperto"))</f>
        <v/>
      </c>
      <c r="H429" s="24" t="n"/>
    </row>
    <row r="430" ht="15.75" customHeight="1">
      <c r="A430" s="21" t="n"/>
      <c r="B430" s="22">
        <f>IF($A430="","",IFERROR(INDEX(Clienti!$B:$B,MATCH($A430,Clienti!$A:$A,0)),"Codice non trovato"))</f>
        <v/>
      </c>
      <c r="C430" s="21" t="n"/>
      <c r="D430" s="20" t="n"/>
      <c r="E430" s="23" t="n"/>
      <c r="F430" s="26">
        <f>IF(OR($A430="",$D430=""),"",TODAY()-$D430)</f>
        <v/>
      </c>
      <c r="G430" s="26">
        <f>IF($A430="","",IF($E430=0,"Saldato","Aperto"))</f>
        <v/>
      </c>
      <c r="H430" s="24" t="n"/>
    </row>
    <row r="431" ht="15.75" customHeight="1">
      <c r="A431" s="21" t="n"/>
      <c r="B431" s="22">
        <f>IF($A431="","",IFERROR(INDEX(Clienti!$B:$B,MATCH($A431,Clienti!$A:$A,0)),"Codice non trovato"))</f>
        <v/>
      </c>
      <c r="C431" s="21" t="n"/>
      <c r="D431" s="20" t="n"/>
      <c r="E431" s="23" t="n"/>
      <c r="F431" s="26">
        <f>IF(OR($A431="",$D431=""),"",TODAY()-$D431)</f>
        <v/>
      </c>
      <c r="G431" s="26">
        <f>IF($A431="","",IF($E431=0,"Saldato","Aperto"))</f>
        <v/>
      </c>
      <c r="H431" s="24" t="n"/>
    </row>
    <row r="432" ht="15.75" customHeight="1">
      <c r="A432" s="21" t="n"/>
      <c r="B432" s="22">
        <f>IF($A432="","",IFERROR(INDEX(Clienti!$B:$B,MATCH($A432,Clienti!$A:$A,0)),"Codice non trovato"))</f>
        <v/>
      </c>
      <c r="C432" s="21" t="n"/>
      <c r="D432" s="20" t="n"/>
      <c r="E432" s="23" t="n"/>
      <c r="F432" s="26">
        <f>IF(OR($A432="",$D432=""),"",TODAY()-$D432)</f>
        <v/>
      </c>
      <c r="G432" s="26">
        <f>IF($A432="","",IF($E432=0,"Saldato","Aperto"))</f>
        <v/>
      </c>
      <c r="H432" s="24" t="n"/>
    </row>
    <row r="433" ht="15.75" customHeight="1">
      <c r="A433" s="21" t="n"/>
      <c r="B433" s="22">
        <f>IF($A433="","",IFERROR(INDEX(Clienti!$B:$B,MATCH($A433,Clienti!$A:$A,0)),"Codice non trovato"))</f>
        <v/>
      </c>
      <c r="C433" s="21" t="n"/>
      <c r="D433" s="20" t="n"/>
      <c r="E433" s="23" t="n"/>
      <c r="F433" s="26">
        <f>IF(OR($A433="",$D433=""),"",TODAY()-$D433)</f>
        <v/>
      </c>
      <c r="G433" s="26">
        <f>IF($A433="","",IF($E433=0,"Saldato","Aperto"))</f>
        <v/>
      </c>
      <c r="H433" s="24" t="n"/>
    </row>
    <row r="434" ht="15.75" customHeight="1">
      <c r="A434" s="21" t="n"/>
      <c r="B434" s="22">
        <f>IF($A434="","",IFERROR(INDEX(Clienti!$B:$B,MATCH($A434,Clienti!$A:$A,0)),"Codice non trovato"))</f>
        <v/>
      </c>
      <c r="C434" s="21" t="n"/>
      <c r="D434" s="20" t="n"/>
      <c r="E434" s="23" t="n"/>
      <c r="F434" s="26">
        <f>IF(OR($A434="",$D434=""),"",TODAY()-$D434)</f>
        <v/>
      </c>
      <c r="G434" s="26">
        <f>IF($A434="","",IF($E434=0,"Saldato","Aperto"))</f>
        <v/>
      </c>
      <c r="H434" s="24" t="n"/>
    </row>
    <row r="435" ht="15.75" customHeight="1">
      <c r="A435" s="21" t="n"/>
      <c r="B435" s="22">
        <f>IF($A435="","",IFERROR(INDEX(Clienti!$B:$B,MATCH($A435,Clienti!$A:$A,0)),"Codice non trovato"))</f>
        <v/>
      </c>
      <c r="C435" s="21" t="n"/>
      <c r="D435" s="20" t="n"/>
      <c r="E435" s="23" t="n"/>
      <c r="F435" s="26">
        <f>IF(OR($A435="",$D435=""),"",TODAY()-$D435)</f>
        <v/>
      </c>
      <c r="G435" s="26">
        <f>IF($A435="","",IF($E435=0,"Saldato","Aperto"))</f>
        <v/>
      </c>
      <c r="H435" s="24" t="n"/>
    </row>
    <row r="436" ht="15.75" customHeight="1">
      <c r="A436" s="21" t="n"/>
      <c r="B436" s="22">
        <f>IF($A436="","",IFERROR(INDEX(Clienti!$B:$B,MATCH($A436,Clienti!$A:$A,0)),"Codice non trovato"))</f>
        <v/>
      </c>
      <c r="C436" s="21" t="n"/>
      <c r="D436" s="20" t="n"/>
      <c r="E436" s="23" t="n"/>
      <c r="F436" s="26">
        <f>IF(OR($A436="",$D436=""),"",TODAY()-$D436)</f>
        <v/>
      </c>
      <c r="G436" s="26">
        <f>IF($A436="","",IF($E436=0,"Saldato","Aperto"))</f>
        <v/>
      </c>
      <c r="H436" s="24" t="n"/>
    </row>
    <row r="437" ht="15.75" customHeight="1">
      <c r="A437" s="21" t="n"/>
      <c r="B437" s="22">
        <f>IF($A437="","",IFERROR(INDEX(Clienti!$B:$B,MATCH($A437,Clienti!$A:$A,0)),"Codice non trovato"))</f>
        <v/>
      </c>
      <c r="C437" s="21" t="n"/>
      <c r="D437" s="20" t="n"/>
      <c r="E437" s="23" t="n"/>
      <c r="F437" s="26">
        <f>IF(OR($A437="",$D437=""),"",TODAY()-$D437)</f>
        <v/>
      </c>
      <c r="G437" s="26">
        <f>IF($A437="","",IF($E437=0,"Saldato","Aperto"))</f>
        <v/>
      </c>
      <c r="H437" s="24" t="n"/>
    </row>
    <row r="438" ht="15.75" customHeight="1">
      <c r="A438" s="21" t="n"/>
      <c r="B438" s="22">
        <f>IF($A438="","",IFERROR(INDEX(Clienti!$B:$B,MATCH($A438,Clienti!$A:$A,0)),"Codice non trovato"))</f>
        <v/>
      </c>
      <c r="C438" s="21" t="n"/>
      <c r="D438" s="20" t="n"/>
      <c r="E438" s="23" t="n"/>
      <c r="F438" s="26">
        <f>IF(OR($A438="",$D438=""),"",TODAY()-$D438)</f>
        <v/>
      </c>
      <c r="G438" s="26">
        <f>IF($A438="","",IF($E438=0,"Saldato","Aperto"))</f>
        <v/>
      </c>
      <c r="H438" s="24" t="n"/>
    </row>
    <row r="439" ht="15.75" customHeight="1">
      <c r="A439" s="21" t="n"/>
      <c r="B439" s="22">
        <f>IF($A439="","",IFERROR(INDEX(Clienti!$B:$B,MATCH($A439,Clienti!$A:$A,0)),"Codice non trovato"))</f>
        <v/>
      </c>
      <c r="C439" s="21" t="n"/>
      <c r="D439" s="20" t="n"/>
      <c r="E439" s="23" t="n"/>
      <c r="F439" s="26">
        <f>IF(OR($A439="",$D439=""),"",TODAY()-$D439)</f>
        <v/>
      </c>
      <c r="G439" s="26">
        <f>IF($A439="","",IF($E439=0,"Saldato","Aperto"))</f>
        <v/>
      </c>
      <c r="H439" s="24" t="n"/>
    </row>
    <row r="440" ht="15.75" customHeight="1">
      <c r="A440" s="21" t="n"/>
      <c r="B440" s="22">
        <f>IF($A440="","",IFERROR(INDEX(Clienti!$B:$B,MATCH($A440,Clienti!$A:$A,0)),"Codice non trovato"))</f>
        <v/>
      </c>
      <c r="C440" s="21" t="n"/>
      <c r="D440" s="20" t="n"/>
      <c r="E440" s="23" t="n"/>
      <c r="F440" s="26">
        <f>IF(OR($A440="",$D440=""),"",TODAY()-$D440)</f>
        <v/>
      </c>
      <c r="G440" s="26">
        <f>IF($A440="","",IF($E440=0,"Saldato","Aperto"))</f>
        <v/>
      </c>
      <c r="H440" s="24" t="n"/>
    </row>
    <row r="441" ht="15.75" customHeight="1">
      <c r="A441" s="21" t="n"/>
      <c r="B441" s="22">
        <f>IF($A441="","",IFERROR(INDEX(Clienti!$B:$B,MATCH($A441,Clienti!$A:$A,0)),"Codice non trovato"))</f>
        <v/>
      </c>
      <c r="C441" s="21" t="n"/>
      <c r="D441" s="20" t="n"/>
      <c r="E441" s="23" t="n"/>
      <c r="F441" s="26">
        <f>IF(OR($A441="",$D441=""),"",TODAY()-$D441)</f>
        <v/>
      </c>
      <c r="G441" s="26">
        <f>IF($A441="","",IF($E441=0,"Saldato","Aperto"))</f>
        <v/>
      </c>
      <c r="H441" s="24" t="n"/>
    </row>
    <row r="442" ht="15.75" customHeight="1">
      <c r="A442" s="21" t="n"/>
      <c r="B442" s="22">
        <f>IF($A442="","",IFERROR(INDEX(Clienti!$B:$B,MATCH($A442,Clienti!$A:$A,0)),"Codice non trovato"))</f>
        <v/>
      </c>
      <c r="C442" s="21" t="n"/>
      <c r="D442" s="20" t="n"/>
      <c r="E442" s="23" t="n"/>
      <c r="F442" s="26">
        <f>IF(OR($A442="",$D442=""),"",TODAY()-$D442)</f>
        <v/>
      </c>
      <c r="G442" s="26">
        <f>IF($A442="","",IF($E442=0,"Saldato","Aperto"))</f>
        <v/>
      </c>
      <c r="H442" s="24" t="n"/>
    </row>
    <row r="443" ht="15.75" customHeight="1">
      <c r="A443" s="21" t="n"/>
      <c r="B443" s="22">
        <f>IF($A443="","",IFERROR(INDEX(Clienti!$B:$B,MATCH($A443,Clienti!$A:$A,0)),"Codice non trovato"))</f>
        <v/>
      </c>
      <c r="C443" s="21" t="n"/>
      <c r="D443" s="20" t="n"/>
      <c r="E443" s="23" t="n"/>
      <c r="F443" s="26">
        <f>IF(OR($A443="",$D443=""),"",TODAY()-$D443)</f>
        <v/>
      </c>
      <c r="G443" s="26">
        <f>IF($A443="","",IF($E443=0,"Saldato","Aperto"))</f>
        <v/>
      </c>
      <c r="H443" s="24" t="n"/>
    </row>
    <row r="444" ht="15.75" customHeight="1">
      <c r="A444" s="21" t="n"/>
      <c r="B444" s="22">
        <f>IF($A444="","",IFERROR(INDEX(Clienti!$B:$B,MATCH($A444,Clienti!$A:$A,0)),"Codice non trovato"))</f>
        <v/>
      </c>
      <c r="C444" s="21" t="n"/>
      <c r="D444" s="20" t="n"/>
      <c r="E444" s="23" t="n"/>
      <c r="F444" s="26">
        <f>IF(OR($A444="",$D444=""),"",TODAY()-$D444)</f>
        <v/>
      </c>
      <c r="G444" s="26">
        <f>IF($A444="","",IF($E444=0,"Saldato","Aperto"))</f>
        <v/>
      </c>
      <c r="H444" s="24" t="n"/>
    </row>
    <row r="445" ht="15.75" customHeight="1">
      <c r="A445" s="21" t="n"/>
      <c r="B445" s="22">
        <f>IF($A445="","",IFERROR(INDEX(Clienti!$B:$B,MATCH($A445,Clienti!$A:$A,0)),"Codice non trovato"))</f>
        <v/>
      </c>
      <c r="C445" s="21" t="n"/>
      <c r="D445" s="20" t="n"/>
      <c r="E445" s="23" t="n"/>
      <c r="F445" s="26">
        <f>IF(OR($A445="",$D445=""),"",TODAY()-$D445)</f>
        <v/>
      </c>
      <c r="G445" s="26">
        <f>IF($A445="","",IF($E445=0,"Saldato","Aperto"))</f>
        <v/>
      </c>
      <c r="H445" s="24" t="n"/>
    </row>
    <row r="446" ht="15.75" customHeight="1">
      <c r="A446" s="21" t="n"/>
      <c r="B446" s="22">
        <f>IF($A446="","",IFERROR(INDEX(Clienti!$B:$B,MATCH($A446,Clienti!$A:$A,0)),"Codice non trovato"))</f>
        <v/>
      </c>
      <c r="C446" s="21" t="n"/>
      <c r="D446" s="20" t="n"/>
      <c r="E446" s="23" t="n"/>
      <c r="F446" s="26">
        <f>IF(OR($A446="",$D446=""),"",TODAY()-$D446)</f>
        <v/>
      </c>
      <c r="G446" s="26">
        <f>IF($A446="","",IF($E446=0,"Saldato","Aperto"))</f>
        <v/>
      </c>
      <c r="H446" s="24" t="n"/>
    </row>
    <row r="447" ht="15.75" customHeight="1">
      <c r="A447" s="21" t="n"/>
      <c r="B447" s="22">
        <f>IF($A447="","",IFERROR(INDEX(Clienti!$B:$B,MATCH($A447,Clienti!$A:$A,0)),"Codice non trovato"))</f>
        <v/>
      </c>
      <c r="C447" s="21" t="n"/>
      <c r="D447" s="20" t="n"/>
      <c r="E447" s="23" t="n"/>
      <c r="F447" s="26">
        <f>IF(OR($A447="",$D447=""),"",TODAY()-$D447)</f>
        <v/>
      </c>
      <c r="G447" s="26">
        <f>IF($A447="","",IF($E447=0,"Saldato","Aperto"))</f>
        <v/>
      </c>
      <c r="H447" s="24" t="n"/>
    </row>
    <row r="448" ht="15.75" customHeight="1">
      <c r="A448" s="21" t="n"/>
      <c r="B448" s="22">
        <f>IF($A448="","",IFERROR(INDEX(Clienti!$B:$B,MATCH($A448,Clienti!$A:$A,0)),"Codice non trovato"))</f>
        <v/>
      </c>
      <c r="C448" s="21" t="n"/>
      <c r="D448" s="20" t="n"/>
      <c r="E448" s="23" t="n"/>
      <c r="F448" s="26">
        <f>IF(OR($A448="",$D448=""),"",TODAY()-$D448)</f>
        <v/>
      </c>
      <c r="G448" s="26">
        <f>IF($A448="","",IF($E448=0,"Saldato","Aperto"))</f>
        <v/>
      </c>
      <c r="H448" s="24" t="n"/>
    </row>
    <row r="449" ht="15.75" customHeight="1">
      <c r="A449" s="21" t="n"/>
      <c r="B449" s="22">
        <f>IF($A449="","",IFERROR(INDEX(Clienti!$B:$B,MATCH($A449,Clienti!$A:$A,0)),"Codice non trovato"))</f>
        <v/>
      </c>
      <c r="C449" s="21" t="n"/>
      <c r="D449" s="20" t="n"/>
      <c r="E449" s="23" t="n"/>
      <c r="F449" s="26">
        <f>IF(OR($A449="",$D449=""),"",TODAY()-$D449)</f>
        <v/>
      </c>
      <c r="G449" s="26">
        <f>IF($A449="","",IF($E449=0,"Saldato","Aperto"))</f>
        <v/>
      </c>
      <c r="H449" s="24" t="n"/>
    </row>
    <row r="450" ht="15.75" customHeight="1">
      <c r="A450" s="21" t="n"/>
      <c r="B450" s="22">
        <f>IF($A450="","",IFERROR(INDEX(Clienti!$B:$B,MATCH($A450,Clienti!$A:$A,0)),"Codice non trovato"))</f>
        <v/>
      </c>
      <c r="C450" s="21" t="n"/>
      <c r="D450" s="20" t="n"/>
      <c r="E450" s="23" t="n"/>
      <c r="F450" s="26">
        <f>IF(OR($A450="",$D450=""),"",TODAY()-$D450)</f>
        <v/>
      </c>
      <c r="G450" s="26">
        <f>IF($A450="","",IF($E450=0,"Saldato","Aperto"))</f>
        <v/>
      </c>
      <c r="H450" s="24" t="n"/>
    </row>
    <row r="451" ht="15.75" customHeight="1">
      <c r="A451" s="21" t="n"/>
      <c r="B451" s="22">
        <f>IF($A451="","",IFERROR(INDEX(Clienti!$B:$B,MATCH($A451,Clienti!$A:$A,0)),"Codice non trovato"))</f>
        <v/>
      </c>
      <c r="C451" s="21" t="n"/>
      <c r="D451" s="20" t="n"/>
      <c r="E451" s="23" t="n"/>
      <c r="F451" s="26">
        <f>IF(OR($A451="",$D451=""),"",TODAY()-$D451)</f>
        <v/>
      </c>
      <c r="G451" s="26">
        <f>IF($A451="","",IF($E451=0,"Saldato","Aperto"))</f>
        <v/>
      </c>
      <c r="H451" s="24" t="n"/>
    </row>
    <row r="452" ht="15.75" customHeight="1">
      <c r="A452" s="21" t="n"/>
      <c r="B452" s="22">
        <f>IF($A452="","",IFERROR(INDEX(Clienti!$B:$B,MATCH($A452,Clienti!$A:$A,0)),"Codice non trovato"))</f>
        <v/>
      </c>
      <c r="C452" s="21" t="n"/>
      <c r="D452" s="20" t="n"/>
      <c r="E452" s="23" t="n"/>
      <c r="F452" s="26">
        <f>IF(OR($A452="",$D452=""),"",TODAY()-$D452)</f>
        <v/>
      </c>
      <c r="G452" s="26">
        <f>IF($A452="","",IF($E452=0,"Saldato","Aperto"))</f>
        <v/>
      </c>
      <c r="H452" s="24" t="n"/>
    </row>
    <row r="453" ht="15.75" customHeight="1">
      <c r="A453" s="21" t="n"/>
      <c r="B453" s="22">
        <f>IF($A453="","",IFERROR(INDEX(Clienti!$B:$B,MATCH($A453,Clienti!$A:$A,0)),"Codice non trovato"))</f>
        <v/>
      </c>
      <c r="C453" s="21" t="n"/>
      <c r="D453" s="20" t="n"/>
      <c r="E453" s="23" t="n"/>
      <c r="F453" s="26">
        <f>IF(OR($A453="",$D453=""),"",TODAY()-$D453)</f>
        <v/>
      </c>
      <c r="G453" s="26">
        <f>IF($A453="","",IF($E453=0,"Saldato","Aperto"))</f>
        <v/>
      </c>
      <c r="H453" s="24" t="n"/>
    </row>
    <row r="454" ht="15.75" customHeight="1">
      <c r="A454" s="21" t="n"/>
      <c r="B454" s="22">
        <f>IF($A454="","",IFERROR(INDEX(Clienti!$B:$B,MATCH($A454,Clienti!$A:$A,0)),"Codice non trovato"))</f>
        <v/>
      </c>
      <c r="C454" s="21" t="n"/>
      <c r="D454" s="20" t="n"/>
      <c r="E454" s="23" t="n"/>
      <c r="F454" s="26">
        <f>IF(OR($A454="",$D454=""),"",TODAY()-$D454)</f>
        <v/>
      </c>
      <c r="G454" s="26">
        <f>IF($A454="","",IF($E454=0,"Saldato","Aperto"))</f>
        <v/>
      </c>
      <c r="H454" s="24" t="n"/>
    </row>
    <row r="455" ht="15.75" customHeight="1">
      <c r="A455" s="21" t="n"/>
      <c r="B455" s="22">
        <f>IF($A455="","",IFERROR(INDEX(Clienti!$B:$B,MATCH($A455,Clienti!$A:$A,0)),"Codice non trovato"))</f>
        <v/>
      </c>
      <c r="C455" s="21" t="n"/>
      <c r="D455" s="20" t="n"/>
      <c r="E455" s="23" t="n"/>
      <c r="F455" s="26">
        <f>IF(OR($A455="",$D455=""),"",TODAY()-$D455)</f>
        <v/>
      </c>
      <c r="G455" s="26">
        <f>IF($A455="","",IF($E455=0,"Saldato","Aperto"))</f>
        <v/>
      </c>
      <c r="H455" s="24" t="n"/>
    </row>
    <row r="456" ht="15.75" customHeight="1">
      <c r="A456" s="21" t="n"/>
      <c r="B456" s="22">
        <f>IF($A456="","",IFERROR(INDEX(Clienti!$B:$B,MATCH($A456,Clienti!$A:$A,0)),"Codice non trovato"))</f>
        <v/>
      </c>
      <c r="C456" s="21" t="n"/>
      <c r="D456" s="20" t="n"/>
      <c r="E456" s="23" t="n"/>
      <c r="F456" s="26">
        <f>IF(OR($A456="",$D456=""),"",TODAY()-$D456)</f>
        <v/>
      </c>
      <c r="G456" s="26">
        <f>IF($A456="","",IF($E456=0,"Saldato","Aperto"))</f>
        <v/>
      </c>
      <c r="H456" s="24" t="n"/>
    </row>
    <row r="457" ht="15.75" customHeight="1">
      <c r="A457" s="21" t="n"/>
      <c r="B457" s="22">
        <f>IF($A457="","",IFERROR(INDEX(Clienti!$B:$B,MATCH($A457,Clienti!$A:$A,0)),"Codice non trovato"))</f>
        <v/>
      </c>
      <c r="C457" s="21" t="n"/>
      <c r="D457" s="20" t="n"/>
      <c r="E457" s="23" t="n"/>
      <c r="F457" s="26">
        <f>IF(OR($A457="",$D457=""),"",TODAY()-$D457)</f>
        <v/>
      </c>
      <c r="G457" s="26">
        <f>IF($A457="","",IF($E457=0,"Saldato","Aperto"))</f>
        <v/>
      </c>
      <c r="H457" s="24" t="n"/>
    </row>
    <row r="458" ht="15.75" customHeight="1">
      <c r="A458" s="21" t="n"/>
      <c r="B458" s="22">
        <f>IF($A458="","",IFERROR(INDEX(Clienti!$B:$B,MATCH($A458,Clienti!$A:$A,0)),"Codice non trovato"))</f>
        <v/>
      </c>
      <c r="C458" s="21" t="n"/>
      <c r="D458" s="20" t="n"/>
      <c r="E458" s="23" t="n"/>
      <c r="F458" s="26">
        <f>IF(OR($A458="",$D458=""),"",TODAY()-$D458)</f>
        <v/>
      </c>
      <c r="G458" s="26">
        <f>IF($A458="","",IF($E458=0,"Saldato","Aperto"))</f>
        <v/>
      </c>
      <c r="H458" s="24" t="n"/>
    </row>
    <row r="459" ht="15.75" customHeight="1">
      <c r="A459" s="21" t="n"/>
      <c r="B459" s="22">
        <f>IF($A459="","",IFERROR(INDEX(Clienti!$B:$B,MATCH($A459,Clienti!$A:$A,0)),"Codice non trovato"))</f>
        <v/>
      </c>
      <c r="C459" s="21" t="n"/>
      <c r="D459" s="20" t="n"/>
      <c r="E459" s="23" t="n"/>
      <c r="F459" s="26">
        <f>IF(OR($A459="",$D459=""),"",TODAY()-$D459)</f>
        <v/>
      </c>
      <c r="G459" s="26">
        <f>IF($A459="","",IF($E459=0,"Saldato","Aperto"))</f>
        <v/>
      </c>
      <c r="H459" s="24" t="n"/>
    </row>
    <row r="460" ht="15.75" customHeight="1">
      <c r="A460" s="21" t="n"/>
      <c r="B460" s="22">
        <f>IF($A460="","",IFERROR(INDEX(Clienti!$B:$B,MATCH($A460,Clienti!$A:$A,0)),"Codice non trovato"))</f>
        <v/>
      </c>
      <c r="C460" s="21" t="n"/>
      <c r="D460" s="20" t="n"/>
      <c r="E460" s="23" t="n"/>
      <c r="F460" s="26">
        <f>IF(OR($A460="",$D460=""),"",TODAY()-$D460)</f>
        <v/>
      </c>
      <c r="G460" s="26">
        <f>IF($A460="","",IF($E460=0,"Saldato","Aperto"))</f>
        <v/>
      </c>
      <c r="H460" s="24" t="n"/>
    </row>
    <row r="461" ht="15.75" customHeight="1">
      <c r="A461" s="21" t="n"/>
      <c r="B461" s="22">
        <f>IF($A461="","",IFERROR(INDEX(Clienti!$B:$B,MATCH($A461,Clienti!$A:$A,0)),"Codice non trovato"))</f>
        <v/>
      </c>
      <c r="C461" s="21" t="n"/>
      <c r="D461" s="20" t="n"/>
      <c r="E461" s="23" t="n"/>
      <c r="F461" s="26">
        <f>IF(OR($A461="",$D461=""),"",TODAY()-$D461)</f>
        <v/>
      </c>
      <c r="G461" s="26">
        <f>IF($A461="","",IF($E461=0,"Saldato","Aperto"))</f>
        <v/>
      </c>
      <c r="H461" s="24" t="n"/>
    </row>
    <row r="462" ht="15.75" customHeight="1">
      <c r="A462" s="21" t="n"/>
      <c r="B462" s="22">
        <f>IF($A462="","",IFERROR(INDEX(Clienti!$B:$B,MATCH($A462,Clienti!$A:$A,0)),"Codice non trovato"))</f>
        <v/>
      </c>
      <c r="C462" s="21" t="n"/>
      <c r="D462" s="20" t="n"/>
      <c r="E462" s="23" t="n"/>
      <c r="F462" s="26">
        <f>IF(OR($A462="",$D462=""),"",TODAY()-$D462)</f>
        <v/>
      </c>
      <c r="G462" s="26">
        <f>IF($A462="","",IF($E462=0,"Saldato","Aperto"))</f>
        <v/>
      </c>
      <c r="H462" s="24" t="n"/>
    </row>
    <row r="463" ht="15.75" customHeight="1">
      <c r="A463" s="21" t="n"/>
      <c r="B463" s="22">
        <f>IF($A463="","",IFERROR(INDEX(Clienti!$B:$B,MATCH($A463,Clienti!$A:$A,0)),"Codice non trovato"))</f>
        <v/>
      </c>
      <c r="C463" s="21" t="n"/>
      <c r="D463" s="20" t="n"/>
      <c r="E463" s="23" t="n"/>
      <c r="F463" s="26">
        <f>IF(OR($A463="",$D463=""),"",TODAY()-$D463)</f>
        <v/>
      </c>
      <c r="G463" s="26">
        <f>IF($A463="","",IF($E463=0,"Saldato","Aperto"))</f>
        <v/>
      </c>
      <c r="H463" s="24" t="n"/>
    </row>
    <row r="464" ht="15.75" customHeight="1">
      <c r="A464" s="21" t="n"/>
      <c r="B464" s="22">
        <f>IF($A464="","",IFERROR(INDEX(Clienti!$B:$B,MATCH($A464,Clienti!$A:$A,0)),"Codice non trovato"))</f>
        <v/>
      </c>
      <c r="C464" s="21" t="n"/>
      <c r="D464" s="20" t="n"/>
      <c r="E464" s="23" t="n"/>
      <c r="F464" s="26">
        <f>IF(OR($A464="",$D464=""),"",TODAY()-$D464)</f>
        <v/>
      </c>
      <c r="G464" s="26">
        <f>IF($A464="","",IF($E464=0,"Saldato","Aperto"))</f>
        <v/>
      </c>
      <c r="H464" s="24" t="n"/>
    </row>
    <row r="465" ht="15.75" customHeight="1">
      <c r="A465" s="21" t="n"/>
      <c r="B465" s="22">
        <f>IF($A465="","",IFERROR(INDEX(Clienti!$B:$B,MATCH($A465,Clienti!$A:$A,0)),"Codice non trovato"))</f>
        <v/>
      </c>
      <c r="C465" s="21" t="n"/>
      <c r="D465" s="20" t="n"/>
      <c r="E465" s="23" t="n"/>
      <c r="F465" s="26">
        <f>IF(OR($A465="",$D465=""),"",TODAY()-$D465)</f>
        <v/>
      </c>
      <c r="G465" s="26">
        <f>IF($A465="","",IF($E465=0,"Saldato","Aperto"))</f>
        <v/>
      </c>
      <c r="H465" s="24" t="n"/>
    </row>
    <row r="466" ht="15.75" customHeight="1">
      <c r="A466" s="21" t="n"/>
      <c r="B466" s="22">
        <f>IF($A466="","",IFERROR(INDEX(Clienti!$B:$B,MATCH($A466,Clienti!$A:$A,0)),"Codice non trovato"))</f>
        <v/>
      </c>
      <c r="C466" s="21" t="n"/>
      <c r="D466" s="20" t="n"/>
      <c r="E466" s="23" t="n"/>
      <c r="F466" s="26">
        <f>IF(OR($A466="",$D466=""),"",TODAY()-$D466)</f>
        <v/>
      </c>
      <c r="G466" s="26">
        <f>IF($A466="","",IF($E466=0,"Saldato","Aperto"))</f>
        <v/>
      </c>
      <c r="H466" s="24" t="n"/>
    </row>
    <row r="467" ht="15.75" customHeight="1">
      <c r="A467" s="21" t="n"/>
      <c r="B467" s="22">
        <f>IF($A467="","",IFERROR(INDEX(Clienti!$B:$B,MATCH($A467,Clienti!$A:$A,0)),"Codice non trovato"))</f>
        <v/>
      </c>
      <c r="C467" s="21" t="n"/>
      <c r="D467" s="20" t="n"/>
      <c r="E467" s="23" t="n"/>
      <c r="F467" s="26">
        <f>IF(OR($A467="",$D467=""),"",TODAY()-$D467)</f>
        <v/>
      </c>
      <c r="G467" s="26">
        <f>IF($A467="","",IF($E467=0,"Saldato","Aperto"))</f>
        <v/>
      </c>
      <c r="H467" s="24" t="n"/>
    </row>
    <row r="468" ht="15.75" customHeight="1">
      <c r="A468" s="21" t="n"/>
      <c r="B468" s="22">
        <f>IF($A468="","",IFERROR(INDEX(Clienti!$B:$B,MATCH($A468,Clienti!$A:$A,0)),"Codice non trovato"))</f>
        <v/>
      </c>
      <c r="C468" s="21" t="n"/>
      <c r="D468" s="20" t="n"/>
      <c r="E468" s="23" t="n"/>
      <c r="F468" s="26">
        <f>IF(OR($A468="",$D468=""),"",TODAY()-$D468)</f>
        <v/>
      </c>
      <c r="G468" s="26">
        <f>IF($A468="","",IF($E468=0,"Saldato","Aperto"))</f>
        <v/>
      </c>
      <c r="H468" s="24" t="n"/>
    </row>
    <row r="469" ht="15.75" customHeight="1">
      <c r="A469" s="21" t="n"/>
      <c r="B469" s="22">
        <f>IF($A469="","",IFERROR(INDEX(Clienti!$B:$B,MATCH($A469,Clienti!$A:$A,0)),"Codice non trovato"))</f>
        <v/>
      </c>
      <c r="C469" s="21" t="n"/>
      <c r="D469" s="20" t="n"/>
      <c r="E469" s="23" t="n"/>
      <c r="F469" s="26">
        <f>IF(OR($A469="",$D469=""),"",TODAY()-$D469)</f>
        <v/>
      </c>
      <c r="G469" s="26">
        <f>IF($A469="","",IF($E469=0,"Saldato","Aperto"))</f>
        <v/>
      </c>
      <c r="H469" s="24" t="n"/>
    </row>
    <row r="470" ht="15.75" customHeight="1">
      <c r="A470" s="21" t="n"/>
      <c r="B470" s="22">
        <f>IF($A470="","",IFERROR(INDEX(Clienti!$B:$B,MATCH($A470,Clienti!$A:$A,0)),"Codice non trovato"))</f>
        <v/>
      </c>
      <c r="C470" s="21" t="n"/>
      <c r="D470" s="20" t="n"/>
      <c r="E470" s="23" t="n"/>
      <c r="F470" s="26">
        <f>IF(OR($A470="",$D470=""),"",TODAY()-$D470)</f>
        <v/>
      </c>
      <c r="G470" s="26">
        <f>IF($A470="","",IF($E470=0,"Saldato","Aperto"))</f>
        <v/>
      </c>
      <c r="H470" s="24" t="n"/>
    </row>
    <row r="471" ht="15.75" customHeight="1">
      <c r="A471" s="21" t="n"/>
      <c r="B471" s="22">
        <f>IF($A471="","",IFERROR(INDEX(Clienti!$B:$B,MATCH($A471,Clienti!$A:$A,0)),"Codice non trovato"))</f>
        <v/>
      </c>
      <c r="C471" s="21" t="n"/>
      <c r="D471" s="20" t="n"/>
      <c r="E471" s="23" t="n"/>
      <c r="F471" s="26">
        <f>IF(OR($A471="",$D471=""),"",TODAY()-$D471)</f>
        <v/>
      </c>
      <c r="G471" s="26">
        <f>IF($A471="","",IF($E471=0,"Saldato","Aperto"))</f>
        <v/>
      </c>
      <c r="H471" s="24" t="n"/>
    </row>
    <row r="472" ht="15.75" customHeight="1">
      <c r="A472" s="21" t="n"/>
      <c r="B472" s="22">
        <f>IF($A472="","",IFERROR(INDEX(Clienti!$B:$B,MATCH($A472,Clienti!$A:$A,0)),"Codice non trovato"))</f>
        <v/>
      </c>
      <c r="C472" s="21" t="n"/>
      <c r="D472" s="20" t="n"/>
      <c r="E472" s="23" t="n"/>
      <c r="F472" s="26">
        <f>IF(OR($A472="",$D472=""),"",TODAY()-$D472)</f>
        <v/>
      </c>
      <c r="G472" s="26">
        <f>IF($A472="","",IF($E472=0,"Saldato","Aperto"))</f>
        <v/>
      </c>
      <c r="H472" s="24" t="n"/>
    </row>
    <row r="473" ht="15.75" customHeight="1">
      <c r="A473" s="21" t="n"/>
      <c r="B473" s="22">
        <f>IF($A473="","",IFERROR(INDEX(Clienti!$B:$B,MATCH($A473,Clienti!$A:$A,0)),"Codice non trovato"))</f>
        <v/>
      </c>
      <c r="C473" s="21" t="n"/>
      <c r="D473" s="20" t="n"/>
      <c r="E473" s="23" t="n"/>
      <c r="F473" s="26">
        <f>IF(OR($A473="",$D473=""),"",TODAY()-$D473)</f>
        <v/>
      </c>
      <c r="G473" s="26">
        <f>IF($A473="","",IF($E473=0,"Saldato","Aperto"))</f>
        <v/>
      </c>
      <c r="H473" s="24" t="n"/>
    </row>
    <row r="474" ht="15.75" customHeight="1">
      <c r="A474" s="21" t="n"/>
      <c r="B474" s="22">
        <f>IF($A474="","",IFERROR(INDEX(Clienti!$B:$B,MATCH($A474,Clienti!$A:$A,0)),"Codice non trovato"))</f>
        <v/>
      </c>
      <c r="C474" s="21" t="n"/>
      <c r="D474" s="20" t="n"/>
      <c r="E474" s="23" t="n"/>
      <c r="F474" s="26">
        <f>IF(OR($A474="",$D474=""),"",TODAY()-$D474)</f>
        <v/>
      </c>
      <c r="G474" s="26">
        <f>IF($A474="","",IF($E474=0,"Saldato","Aperto"))</f>
        <v/>
      </c>
      <c r="H474" s="24" t="n"/>
    </row>
    <row r="475" ht="15.75" customHeight="1">
      <c r="A475" s="21" t="n"/>
      <c r="B475" s="22">
        <f>IF($A475="","",IFERROR(INDEX(Clienti!$B:$B,MATCH($A475,Clienti!$A:$A,0)),"Codice non trovato"))</f>
        <v/>
      </c>
      <c r="C475" s="21" t="n"/>
      <c r="D475" s="20" t="n"/>
      <c r="E475" s="23" t="n"/>
      <c r="F475" s="26">
        <f>IF(OR($A475="",$D475=""),"",TODAY()-$D475)</f>
        <v/>
      </c>
      <c r="G475" s="26">
        <f>IF($A475="","",IF($E475=0,"Saldato","Aperto"))</f>
        <v/>
      </c>
      <c r="H475" s="24" t="n"/>
    </row>
    <row r="476" ht="15.75" customHeight="1">
      <c r="A476" s="21" t="n"/>
      <c r="B476" s="22">
        <f>IF($A476="","",IFERROR(INDEX(Clienti!$B:$B,MATCH($A476,Clienti!$A:$A,0)),"Codice non trovato"))</f>
        <v/>
      </c>
      <c r="C476" s="21" t="n"/>
      <c r="D476" s="20" t="n"/>
      <c r="E476" s="23" t="n"/>
      <c r="F476" s="26">
        <f>IF(OR($A476="",$D476=""),"",TODAY()-$D476)</f>
        <v/>
      </c>
      <c r="G476" s="26">
        <f>IF($A476="","",IF($E476=0,"Saldato","Aperto"))</f>
        <v/>
      </c>
      <c r="H476" s="24" t="n"/>
    </row>
    <row r="477" ht="15.75" customHeight="1">
      <c r="A477" s="21" t="n"/>
      <c r="B477" s="22">
        <f>IF($A477="","",IFERROR(INDEX(Clienti!$B:$B,MATCH($A477,Clienti!$A:$A,0)),"Codice non trovato"))</f>
        <v/>
      </c>
      <c r="C477" s="21" t="n"/>
      <c r="D477" s="20" t="n"/>
      <c r="E477" s="23" t="n"/>
      <c r="F477" s="26">
        <f>IF(OR($A477="",$D477=""),"",TODAY()-$D477)</f>
        <v/>
      </c>
      <c r="G477" s="26">
        <f>IF($A477="","",IF($E477=0,"Saldato","Aperto"))</f>
        <v/>
      </c>
      <c r="H477" s="24" t="n"/>
    </row>
    <row r="478" ht="15.75" customHeight="1">
      <c r="A478" s="21" t="n"/>
      <c r="B478" s="22">
        <f>IF($A478="","",IFERROR(INDEX(Clienti!$B:$B,MATCH($A478,Clienti!$A:$A,0)),"Codice non trovato"))</f>
        <v/>
      </c>
      <c r="C478" s="21" t="n"/>
      <c r="D478" s="20" t="n"/>
      <c r="E478" s="23" t="n"/>
      <c r="F478" s="26">
        <f>IF(OR($A478="",$D478=""),"",TODAY()-$D478)</f>
        <v/>
      </c>
      <c r="G478" s="26">
        <f>IF($A478="","",IF($E478=0,"Saldato","Aperto"))</f>
        <v/>
      </c>
      <c r="H478" s="24" t="n"/>
    </row>
    <row r="479" ht="15.75" customHeight="1">
      <c r="A479" s="21" t="n"/>
      <c r="B479" s="22">
        <f>IF($A479="","",IFERROR(INDEX(Clienti!$B:$B,MATCH($A479,Clienti!$A:$A,0)),"Codice non trovato"))</f>
        <v/>
      </c>
      <c r="C479" s="21" t="n"/>
      <c r="D479" s="20" t="n"/>
      <c r="E479" s="23" t="n"/>
      <c r="F479" s="26">
        <f>IF(OR($A479="",$D479=""),"",TODAY()-$D479)</f>
        <v/>
      </c>
      <c r="G479" s="26">
        <f>IF($A479="","",IF($E479=0,"Saldato","Aperto"))</f>
        <v/>
      </c>
      <c r="H479" s="24" t="n"/>
    </row>
    <row r="480" ht="15.75" customHeight="1">
      <c r="A480" s="21" t="n"/>
      <c r="B480" s="22">
        <f>IF($A480="","",IFERROR(INDEX(Clienti!$B:$B,MATCH($A480,Clienti!$A:$A,0)),"Codice non trovato"))</f>
        <v/>
      </c>
      <c r="C480" s="21" t="n"/>
      <c r="D480" s="20" t="n"/>
      <c r="E480" s="23" t="n"/>
      <c r="F480" s="26">
        <f>IF(OR($A480="",$D480=""),"",TODAY()-$D480)</f>
        <v/>
      </c>
      <c r="G480" s="26">
        <f>IF($A480="","",IF($E480=0,"Saldato","Aperto"))</f>
        <v/>
      </c>
      <c r="H480" s="24" t="n"/>
    </row>
    <row r="481" ht="15.75" customHeight="1">
      <c r="A481" s="21" t="n"/>
      <c r="B481" s="22">
        <f>IF($A481="","",IFERROR(INDEX(Clienti!$B:$B,MATCH($A481,Clienti!$A:$A,0)),"Codice non trovato"))</f>
        <v/>
      </c>
      <c r="C481" s="21" t="n"/>
      <c r="D481" s="20" t="n"/>
      <c r="E481" s="23" t="n"/>
      <c r="F481" s="26">
        <f>IF(OR($A481="",$D481=""),"",TODAY()-$D481)</f>
        <v/>
      </c>
      <c r="G481" s="26">
        <f>IF($A481="","",IF($E481=0,"Saldato","Aperto"))</f>
        <v/>
      </c>
      <c r="H481" s="24" t="n"/>
    </row>
    <row r="482" ht="15.75" customHeight="1">
      <c r="A482" s="21" t="n"/>
      <c r="B482" s="22">
        <f>IF($A482="","",IFERROR(INDEX(Clienti!$B:$B,MATCH($A482,Clienti!$A:$A,0)),"Codice non trovato"))</f>
        <v/>
      </c>
      <c r="C482" s="21" t="n"/>
      <c r="D482" s="20" t="n"/>
      <c r="E482" s="23" t="n"/>
      <c r="F482" s="26">
        <f>IF(OR($A482="",$D482=""),"",TODAY()-$D482)</f>
        <v/>
      </c>
      <c r="G482" s="26">
        <f>IF($A482="","",IF($E482=0,"Saldato","Aperto"))</f>
        <v/>
      </c>
      <c r="H482" s="24" t="n"/>
    </row>
    <row r="483" ht="15.75" customHeight="1">
      <c r="A483" s="21" t="n"/>
      <c r="B483" s="22">
        <f>IF($A483="","",IFERROR(INDEX(Clienti!$B:$B,MATCH($A483,Clienti!$A:$A,0)),"Codice non trovato"))</f>
        <v/>
      </c>
      <c r="C483" s="21" t="n"/>
      <c r="D483" s="20" t="n"/>
      <c r="E483" s="23" t="n"/>
      <c r="F483" s="26">
        <f>IF(OR($A483="",$D483=""),"",TODAY()-$D483)</f>
        <v/>
      </c>
      <c r="G483" s="26">
        <f>IF($A483="","",IF($E483=0,"Saldato","Aperto"))</f>
        <v/>
      </c>
      <c r="H483" s="24" t="n"/>
    </row>
    <row r="484" ht="15.75" customHeight="1">
      <c r="A484" s="21" t="n"/>
      <c r="B484" s="22">
        <f>IF($A484="","",IFERROR(INDEX(Clienti!$B:$B,MATCH($A484,Clienti!$A:$A,0)),"Codice non trovato"))</f>
        <v/>
      </c>
      <c r="C484" s="21" t="n"/>
      <c r="D484" s="20" t="n"/>
      <c r="E484" s="23" t="n"/>
      <c r="F484" s="26">
        <f>IF(OR($A484="",$D484=""),"",TODAY()-$D484)</f>
        <v/>
      </c>
      <c r="G484" s="26">
        <f>IF($A484="","",IF($E484=0,"Saldato","Aperto"))</f>
        <v/>
      </c>
      <c r="H484" s="24" t="n"/>
    </row>
    <row r="485" ht="15.75" customHeight="1">
      <c r="A485" s="21" t="n"/>
      <c r="B485" s="22">
        <f>IF($A485="","",IFERROR(INDEX(Clienti!$B:$B,MATCH($A485,Clienti!$A:$A,0)),"Codice non trovato"))</f>
        <v/>
      </c>
      <c r="C485" s="21" t="n"/>
      <c r="D485" s="20" t="n"/>
      <c r="E485" s="23" t="n"/>
      <c r="F485" s="26">
        <f>IF(OR($A485="",$D485=""),"",TODAY()-$D485)</f>
        <v/>
      </c>
      <c r="G485" s="26">
        <f>IF($A485="","",IF($E485=0,"Saldato","Aperto"))</f>
        <v/>
      </c>
      <c r="H485" s="24" t="n"/>
    </row>
    <row r="486" ht="15.75" customHeight="1">
      <c r="A486" s="21" t="n"/>
      <c r="B486" s="22">
        <f>IF($A486="","",IFERROR(INDEX(Clienti!$B:$B,MATCH($A486,Clienti!$A:$A,0)),"Codice non trovato"))</f>
        <v/>
      </c>
      <c r="C486" s="21" t="n"/>
      <c r="D486" s="20" t="n"/>
      <c r="E486" s="23" t="n"/>
      <c r="F486" s="26">
        <f>IF(OR($A486="",$D486=""),"",TODAY()-$D486)</f>
        <v/>
      </c>
      <c r="G486" s="26">
        <f>IF($A486="","",IF($E486=0,"Saldato","Aperto"))</f>
        <v/>
      </c>
      <c r="H486" s="24" t="n"/>
    </row>
    <row r="487" ht="15.75" customHeight="1">
      <c r="A487" s="21" t="n"/>
      <c r="B487" s="22">
        <f>IF($A487="","",IFERROR(INDEX(Clienti!$B:$B,MATCH($A487,Clienti!$A:$A,0)),"Codice non trovato"))</f>
        <v/>
      </c>
      <c r="C487" s="21" t="n"/>
      <c r="D487" s="20" t="n"/>
      <c r="E487" s="23" t="n"/>
      <c r="F487" s="26">
        <f>IF(OR($A487="",$D487=""),"",TODAY()-$D487)</f>
        <v/>
      </c>
      <c r="G487" s="26">
        <f>IF($A487="","",IF($E487=0,"Saldato","Aperto"))</f>
        <v/>
      </c>
      <c r="H487" s="24" t="n"/>
    </row>
    <row r="488" ht="15.75" customHeight="1">
      <c r="A488" s="21" t="n"/>
      <c r="B488" s="22">
        <f>IF($A488="","",IFERROR(INDEX(Clienti!$B:$B,MATCH($A488,Clienti!$A:$A,0)),"Codice non trovato"))</f>
        <v/>
      </c>
      <c r="C488" s="21" t="n"/>
      <c r="D488" s="20" t="n"/>
      <c r="E488" s="23" t="n"/>
      <c r="F488" s="26">
        <f>IF(OR($A488="",$D488=""),"",TODAY()-$D488)</f>
        <v/>
      </c>
      <c r="G488" s="26">
        <f>IF($A488="","",IF($E488=0,"Saldato","Aperto"))</f>
        <v/>
      </c>
      <c r="H488" s="24" t="n"/>
    </row>
    <row r="489" ht="15.75" customHeight="1">
      <c r="A489" s="21" t="n"/>
      <c r="B489" s="22">
        <f>IF($A489="","",IFERROR(INDEX(Clienti!$B:$B,MATCH($A489,Clienti!$A:$A,0)),"Codice non trovato"))</f>
        <v/>
      </c>
      <c r="C489" s="21" t="n"/>
      <c r="D489" s="20" t="n"/>
      <c r="E489" s="23" t="n"/>
      <c r="F489" s="26">
        <f>IF(OR($A489="",$D489=""),"",TODAY()-$D489)</f>
        <v/>
      </c>
      <c r="G489" s="26">
        <f>IF($A489="","",IF($E489=0,"Saldato","Aperto"))</f>
        <v/>
      </c>
      <c r="H489" s="24" t="n"/>
    </row>
    <row r="490" ht="15.75" customHeight="1">
      <c r="A490" s="21" t="n"/>
      <c r="B490" s="22">
        <f>IF($A490="","",IFERROR(INDEX(Clienti!$B:$B,MATCH($A490,Clienti!$A:$A,0)),"Codice non trovato"))</f>
        <v/>
      </c>
      <c r="C490" s="21" t="n"/>
      <c r="D490" s="20" t="n"/>
      <c r="E490" s="23" t="n"/>
      <c r="F490" s="26">
        <f>IF(OR($A490="",$D490=""),"",TODAY()-$D490)</f>
        <v/>
      </c>
      <c r="G490" s="26">
        <f>IF($A490="","",IF($E490=0,"Saldato","Aperto"))</f>
        <v/>
      </c>
      <c r="H490" s="24" t="n"/>
    </row>
    <row r="491" ht="15.75" customHeight="1">
      <c r="A491" s="21" t="n"/>
      <c r="B491" s="22">
        <f>IF($A491="","",IFERROR(INDEX(Clienti!$B:$B,MATCH($A491,Clienti!$A:$A,0)),"Codice non trovato"))</f>
        <v/>
      </c>
      <c r="C491" s="21" t="n"/>
      <c r="D491" s="20" t="n"/>
      <c r="E491" s="23" t="n"/>
      <c r="F491" s="26">
        <f>IF(OR($A491="",$D491=""),"",TODAY()-$D491)</f>
        <v/>
      </c>
      <c r="G491" s="26">
        <f>IF($A491="","",IF($E491=0,"Saldato","Aperto"))</f>
        <v/>
      </c>
      <c r="H491" s="24" t="n"/>
    </row>
    <row r="492" ht="15.75" customHeight="1">
      <c r="A492" s="21" t="n"/>
      <c r="B492" s="22">
        <f>IF($A492="","",IFERROR(INDEX(Clienti!$B:$B,MATCH($A492,Clienti!$A:$A,0)),"Codice non trovato"))</f>
        <v/>
      </c>
      <c r="C492" s="21" t="n"/>
      <c r="D492" s="20" t="n"/>
      <c r="E492" s="23" t="n"/>
      <c r="F492" s="26">
        <f>IF(OR($A492="",$D492=""),"",TODAY()-$D492)</f>
        <v/>
      </c>
      <c r="G492" s="26">
        <f>IF($A492="","",IF($E492=0,"Saldato","Aperto"))</f>
        <v/>
      </c>
      <c r="H492" s="24" t="n"/>
    </row>
    <row r="493" ht="15.75" customHeight="1">
      <c r="A493" s="21" t="n"/>
      <c r="B493" s="22">
        <f>IF($A493="","",IFERROR(INDEX(Clienti!$B:$B,MATCH($A493,Clienti!$A:$A,0)),"Codice non trovato"))</f>
        <v/>
      </c>
      <c r="C493" s="21" t="n"/>
      <c r="D493" s="20" t="n"/>
      <c r="E493" s="23" t="n"/>
      <c r="F493" s="26">
        <f>IF(OR($A493="",$D493=""),"",TODAY()-$D493)</f>
        <v/>
      </c>
      <c r="G493" s="26">
        <f>IF($A493="","",IF($E493=0,"Saldato","Aperto"))</f>
        <v/>
      </c>
      <c r="H493" s="24" t="n"/>
    </row>
    <row r="494" ht="15.75" customHeight="1">
      <c r="A494" s="21" t="n"/>
      <c r="B494" s="22">
        <f>IF($A494="","",IFERROR(INDEX(Clienti!$B:$B,MATCH($A494,Clienti!$A:$A,0)),"Codice non trovato"))</f>
        <v/>
      </c>
      <c r="C494" s="21" t="n"/>
      <c r="D494" s="20" t="n"/>
      <c r="E494" s="23" t="n"/>
      <c r="F494" s="26">
        <f>IF(OR($A494="",$D494=""),"",TODAY()-$D494)</f>
        <v/>
      </c>
      <c r="G494" s="26">
        <f>IF($A494="","",IF($E494=0,"Saldato","Aperto"))</f>
        <v/>
      </c>
      <c r="H494" s="24" t="n"/>
    </row>
    <row r="495" ht="15.75" customHeight="1">
      <c r="A495" s="21" t="n"/>
      <c r="B495" s="22">
        <f>IF($A495="","",IFERROR(INDEX(Clienti!$B:$B,MATCH($A495,Clienti!$A:$A,0)),"Codice non trovato"))</f>
        <v/>
      </c>
      <c r="C495" s="21" t="n"/>
      <c r="D495" s="20" t="n"/>
      <c r="E495" s="23" t="n"/>
      <c r="F495" s="26">
        <f>IF(OR($A495="",$D495=""),"",TODAY()-$D495)</f>
        <v/>
      </c>
      <c r="G495" s="26">
        <f>IF($A495="","",IF($E495=0,"Saldato","Aperto"))</f>
        <v/>
      </c>
      <c r="H495" s="24" t="n"/>
    </row>
    <row r="496" ht="15.75" customHeight="1">
      <c r="A496" s="21" t="n"/>
      <c r="B496" s="22">
        <f>IF($A496="","",IFERROR(INDEX(Clienti!$B:$B,MATCH($A496,Clienti!$A:$A,0)),"Codice non trovato"))</f>
        <v/>
      </c>
      <c r="C496" s="21" t="n"/>
      <c r="D496" s="20" t="n"/>
      <c r="E496" s="23" t="n"/>
      <c r="F496" s="26">
        <f>IF(OR($A496="",$D496=""),"",TODAY()-$D496)</f>
        <v/>
      </c>
      <c r="G496" s="26">
        <f>IF($A496="","",IF($E496=0,"Saldato","Aperto"))</f>
        <v/>
      </c>
      <c r="H496" s="24" t="n"/>
    </row>
    <row r="497" ht="15.75" customHeight="1">
      <c r="A497" s="21" t="n"/>
      <c r="B497" s="22">
        <f>IF($A497="","",IFERROR(INDEX(Clienti!$B:$B,MATCH($A497,Clienti!$A:$A,0)),"Codice non trovato"))</f>
        <v/>
      </c>
      <c r="C497" s="21" t="n"/>
      <c r="D497" s="20" t="n"/>
      <c r="E497" s="23" t="n"/>
      <c r="F497" s="26">
        <f>IF(OR($A497="",$D497=""),"",TODAY()-$D497)</f>
        <v/>
      </c>
      <c r="G497" s="26">
        <f>IF($A497="","",IF($E497=0,"Saldato","Aperto"))</f>
        <v/>
      </c>
      <c r="H497" s="24" t="n"/>
    </row>
    <row r="498" ht="15.75" customHeight="1">
      <c r="A498" s="21" t="n"/>
      <c r="B498" s="22">
        <f>IF($A498="","",IFERROR(INDEX(Clienti!$B:$B,MATCH($A498,Clienti!$A:$A,0)),"Codice non trovato"))</f>
        <v/>
      </c>
      <c r="C498" s="21" t="n"/>
      <c r="D498" s="20" t="n"/>
      <c r="E498" s="23" t="n"/>
      <c r="F498" s="26">
        <f>IF(OR($A498="",$D498=""),"",TODAY()-$D498)</f>
        <v/>
      </c>
      <c r="G498" s="26">
        <f>IF($A498="","",IF($E498=0,"Saldato","Aperto"))</f>
        <v/>
      </c>
      <c r="H498" s="24" t="n"/>
    </row>
    <row r="499" ht="15.75" customHeight="1">
      <c r="A499" s="21" t="n"/>
      <c r="B499" s="22">
        <f>IF($A499="","",IFERROR(INDEX(Clienti!$B:$B,MATCH($A499,Clienti!$A:$A,0)),"Codice non trovato"))</f>
        <v/>
      </c>
      <c r="C499" s="21" t="n"/>
      <c r="D499" s="20" t="n"/>
      <c r="E499" s="23" t="n"/>
      <c r="F499" s="26">
        <f>IF(OR($A499="",$D499=""),"",TODAY()-$D499)</f>
        <v/>
      </c>
      <c r="G499" s="26">
        <f>IF($A499="","",IF($E499=0,"Saldato","Aperto"))</f>
        <v/>
      </c>
      <c r="H499" s="24" t="n"/>
    </row>
    <row r="500" ht="15.75" customHeight="1">
      <c r="A500" s="21" t="n"/>
      <c r="B500" s="22">
        <f>IF($A500="","",IFERROR(INDEX(Clienti!$B:$B,MATCH($A500,Clienti!$A:$A,0)),"Codice non trovato"))</f>
        <v/>
      </c>
      <c r="C500" s="21" t="n"/>
      <c r="D500" s="20" t="n"/>
      <c r="E500" s="23" t="n"/>
      <c r="F500" s="26">
        <f>IF(OR($A500="",$D500=""),"",TODAY()-$D500)</f>
        <v/>
      </c>
      <c r="G500" s="26">
        <f>IF($A500="","",IF($E500=0,"Saldato","Aperto"))</f>
        <v/>
      </c>
      <c r="H500" s="24" t="n"/>
    </row>
    <row r="502">
      <c r="D502" s="5" t="n"/>
      <c r="E502" s="25" t="n"/>
    </row>
  </sheetData>
  <mergeCells count="2">
    <mergeCell ref="A2:H2"/>
    <mergeCell ref="A1:H1"/>
  </mergeCells>
  <conditionalFormatting sqref="F5:F500">
    <cfRule type="cellIs" priority="2" operator="greaterThan" dxfId="1">
      <formula>30</formula>
    </cfRule>
  </conditionalFormatting>
  <conditionalFormatting sqref="G5:G500">
    <cfRule type="expression" priority="3" dxfId="0">
      <formula>$G5="Aperto"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2026-09-02T09:40:36Z</dcterms:created>
  <dcterms:modified xmlns:dcterms="http://purl.org/dc/terms/" xmlns:xsi="http://www.w3.org/2001/XMLSchema-instance" xsi:type="dcterms:W3CDTF">2026-09-28T15:24:32Z</dcterms:modified>
  <cp:lastModifiedBy>Francesco</cp:lastModifiedBy>
  <cp:revision>0</cp:revision>
</cp:coreProperties>
</file>